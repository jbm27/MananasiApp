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B22597C9-92E0-49DE-9D0A-7DC2745C1D95}" xr6:coauthVersionLast="47" xr6:coauthVersionMax="47" xr10:uidLastSave="{00000000-0000-0000-0000-000000000000}"/>
  <bookViews>
    <workbookView xWindow="240" yWindow="105" windowWidth="14805" windowHeight="8010" firstSheet="7" activeTab="10" xr2:uid="{00000000-000D-0000-FFFF-FFFF00000000}"/>
  </bookViews>
  <sheets>
    <sheet name="27-06-26" sheetId="2" r:id="rId1"/>
    <sheet name="29-06-26" sheetId="5" r:id="rId2"/>
    <sheet name="30-06-26" sheetId="6" r:id="rId3"/>
    <sheet name="01-07-26" sheetId="9" r:id="rId4"/>
    <sheet name="02-07-26" sheetId="10" r:id="rId5"/>
    <sheet name="03-07-26" sheetId="11" r:id="rId6"/>
    <sheet name="04-07-26" sheetId="12" r:id="rId7"/>
    <sheet name="06-07-26" sheetId="13" r:id="rId8"/>
    <sheet name="07-07-26" sheetId="14" r:id="rId9"/>
    <sheet name="08-07-26" sheetId="15" r:id="rId10"/>
    <sheet name="Totals Master" sheetId="4" r:id="rId11"/>
    <sheet name="Incentive Master 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5" i="4" l="1"/>
  <c r="L21" i="4"/>
  <c r="L35" i="4"/>
  <c r="L41" i="4"/>
  <c r="L44" i="4"/>
  <c r="N41" i="15"/>
  <c r="P41" i="15" s="1"/>
  <c r="N40" i="15"/>
  <c r="N38" i="15"/>
  <c r="P38" i="15" s="1"/>
  <c r="N37" i="15"/>
  <c r="N36" i="15"/>
  <c r="P36" i="15" s="1"/>
  <c r="N35" i="15"/>
  <c r="P35" i="15" s="1"/>
  <c r="N34" i="15"/>
  <c r="P34" i="15" s="1"/>
  <c r="N32" i="15"/>
  <c r="P32" i="15" s="1"/>
  <c r="N31" i="15"/>
  <c r="P31" i="15" s="1"/>
  <c r="N30" i="15"/>
  <c r="P30" i="15" s="1"/>
  <c r="N29" i="15"/>
  <c r="P29" i="15" s="1"/>
  <c r="N28" i="15"/>
  <c r="P28" i="15" s="1"/>
  <c r="N27" i="15"/>
  <c r="P27" i="15" s="1"/>
  <c r="N26" i="15"/>
  <c r="P26" i="15" s="1"/>
  <c r="N25" i="15"/>
  <c r="P25" i="15" s="1"/>
  <c r="N24" i="15"/>
  <c r="P24" i="15" s="1"/>
  <c r="N23" i="15"/>
  <c r="P23" i="15" s="1"/>
  <c r="N22" i="15"/>
  <c r="P22" i="15" s="1"/>
  <c r="N21" i="15"/>
  <c r="P21" i="15" s="1"/>
  <c r="N20" i="15"/>
  <c r="N18" i="15"/>
  <c r="P18" i="15" s="1"/>
  <c r="N17" i="15"/>
  <c r="P17" i="15" s="1"/>
  <c r="N16" i="15"/>
  <c r="P16" i="15" s="1"/>
  <c r="N15" i="15"/>
  <c r="P15" i="15" s="1"/>
  <c r="N14" i="15"/>
  <c r="P14" i="15" s="1"/>
  <c r="N13" i="15"/>
  <c r="P13" i="15" s="1"/>
  <c r="N12" i="15"/>
  <c r="P12" i="15" s="1"/>
  <c r="N11" i="15"/>
  <c r="P11" i="15" s="1"/>
  <c r="N10" i="15"/>
  <c r="P10" i="15" s="1"/>
  <c r="N9" i="15"/>
  <c r="P9" i="15" s="1"/>
  <c r="N8" i="15"/>
  <c r="P8" i="15" s="1"/>
  <c r="N7" i="15"/>
  <c r="P7" i="15" s="1"/>
  <c r="N6" i="15"/>
  <c r="P6" i="15" s="1"/>
  <c r="N5" i="15"/>
  <c r="P5" i="15" s="1"/>
  <c r="N4" i="15"/>
  <c r="P4" i="15" s="1"/>
  <c r="N3" i="15"/>
  <c r="K45" i="4"/>
  <c r="K21" i="4"/>
  <c r="K35" i="4"/>
  <c r="K41" i="4"/>
  <c r="K44" i="4"/>
  <c r="N41" i="14"/>
  <c r="P41" i="14" s="1"/>
  <c r="N40" i="14"/>
  <c r="N38" i="14"/>
  <c r="P38" i="14" s="1"/>
  <c r="N37" i="14"/>
  <c r="N36" i="14"/>
  <c r="P36" i="14" s="1"/>
  <c r="N35" i="14"/>
  <c r="P35" i="14" s="1"/>
  <c r="N34" i="14"/>
  <c r="P34" i="14" s="1"/>
  <c r="N32" i="14"/>
  <c r="P32" i="14" s="1"/>
  <c r="N31" i="14"/>
  <c r="P31" i="14" s="1"/>
  <c r="N30" i="14"/>
  <c r="P30" i="14" s="1"/>
  <c r="N29" i="14"/>
  <c r="P29" i="14" s="1"/>
  <c r="N28" i="14"/>
  <c r="P28" i="14" s="1"/>
  <c r="N27" i="14"/>
  <c r="P27" i="14" s="1"/>
  <c r="N26" i="14"/>
  <c r="P26" i="14" s="1"/>
  <c r="N25" i="14"/>
  <c r="P25" i="14" s="1"/>
  <c r="N24" i="14"/>
  <c r="P24" i="14" s="1"/>
  <c r="N23" i="14"/>
  <c r="P23" i="14" s="1"/>
  <c r="N22" i="14"/>
  <c r="P22" i="14" s="1"/>
  <c r="N21" i="14"/>
  <c r="P21" i="14" s="1"/>
  <c r="N20" i="14"/>
  <c r="N18" i="14"/>
  <c r="P18" i="14" s="1"/>
  <c r="N17" i="14"/>
  <c r="P17" i="14" s="1"/>
  <c r="N16" i="14"/>
  <c r="P16" i="14" s="1"/>
  <c r="N15" i="14"/>
  <c r="P15" i="14" s="1"/>
  <c r="N14" i="14"/>
  <c r="P14" i="14" s="1"/>
  <c r="N13" i="14"/>
  <c r="P13" i="14" s="1"/>
  <c r="N12" i="14"/>
  <c r="P12" i="14" s="1"/>
  <c r="N11" i="14"/>
  <c r="P11" i="14" s="1"/>
  <c r="N10" i="14"/>
  <c r="P10" i="14" s="1"/>
  <c r="N9" i="14"/>
  <c r="P9" i="14" s="1"/>
  <c r="N8" i="14"/>
  <c r="P8" i="14" s="1"/>
  <c r="N7" i="14"/>
  <c r="P7" i="14" s="1"/>
  <c r="N6" i="14"/>
  <c r="P6" i="14" s="1"/>
  <c r="N5" i="14"/>
  <c r="P5" i="14" s="1"/>
  <c r="N4" i="14"/>
  <c r="P4" i="14" s="1"/>
  <c r="N3" i="14"/>
  <c r="J45" i="4"/>
  <c r="J21" i="4"/>
  <c r="J35" i="4"/>
  <c r="J41" i="4"/>
  <c r="J44" i="4"/>
  <c r="N41" i="13"/>
  <c r="P41" i="13" s="1"/>
  <c r="N40" i="13"/>
  <c r="N38" i="13"/>
  <c r="P38" i="13" s="1"/>
  <c r="N37" i="13"/>
  <c r="N36" i="13"/>
  <c r="P36" i="13" s="1"/>
  <c r="N35" i="13"/>
  <c r="P35" i="13" s="1"/>
  <c r="N34" i="13"/>
  <c r="P34" i="13" s="1"/>
  <c r="N32" i="13"/>
  <c r="P32" i="13" s="1"/>
  <c r="N31" i="13"/>
  <c r="P31" i="13" s="1"/>
  <c r="N30" i="13"/>
  <c r="P30" i="13" s="1"/>
  <c r="N29" i="13"/>
  <c r="P29" i="13" s="1"/>
  <c r="N28" i="13"/>
  <c r="P28" i="13" s="1"/>
  <c r="N27" i="13"/>
  <c r="P27" i="13" s="1"/>
  <c r="N26" i="13"/>
  <c r="P26" i="13" s="1"/>
  <c r="N25" i="13"/>
  <c r="P25" i="13" s="1"/>
  <c r="N24" i="13"/>
  <c r="P24" i="13" s="1"/>
  <c r="N23" i="13"/>
  <c r="P23" i="13" s="1"/>
  <c r="N22" i="13"/>
  <c r="P22" i="13" s="1"/>
  <c r="N21" i="13"/>
  <c r="P21" i="13" s="1"/>
  <c r="N20" i="13"/>
  <c r="N18" i="13"/>
  <c r="P18" i="13" s="1"/>
  <c r="N17" i="13"/>
  <c r="P17" i="13" s="1"/>
  <c r="N16" i="13"/>
  <c r="P16" i="13" s="1"/>
  <c r="N15" i="13"/>
  <c r="P15" i="13" s="1"/>
  <c r="N14" i="13"/>
  <c r="P14" i="13" s="1"/>
  <c r="N13" i="13"/>
  <c r="P13" i="13" s="1"/>
  <c r="N12" i="13"/>
  <c r="P12" i="13" s="1"/>
  <c r="N11" i="13"/>
  <c r="P11" i="13" s="1"/>
  <c r="N10" i="13"/>
  <c r="P10" i="13" s="1"/>
  <c r="N9" i="13"/>
  <c r="P9" i="13" s="1"/>
  <c r="N8" i="13"/>
  <c r="P8" i="13" s="1"/>
  <c r="N7" i="13"/>
  <c r="P7" i="13" s="1"/>
  <c r="N6" i="13"/>
  <c r="P6" i="13" s="1"/>
  <c r="N5" i="13"/>
  <c r="P5" i="13" s="1"/>
  <c r="N4" i="13"/>
  <c r="P4" i="13" s="1"/>
  <c r="N3" i="13"/>
  <c r="P40" i="6"/>
  <c r="P40" i="9"/>
  <c r="P40" i="11"/>
  <c r="P40" i="12"/>
  <c r="I45" i="4"/>
  <c r="I21" i="4"/>
  <c r="I35" i="4"/>
  <c r="I41" i="4"/>
  <c r="I44" i="4"/>
  <c r="N41" i="12"/>
  <c r="P41" i="12" s="1"/>
  <c r="N40" i="12"/>
  <c r="N42" i="12" s="1"/>
  <c r="N38" i="12"/>
  <c r="P38" i="12" s="1"/>
  <c r="N37" i="12"/>
  <c r="N36" i="12"/>
  <c r="P36" i="12" s="1"/>
  <c r="N35" i="12"/>
  <c r="P35" i="12" s="1"/>
  <c r="N34" i="12"/>
  <c r="P34" i="12" s="1"/>
  <c r="N32" i="12"/>
  <c r="P32" i="12" s="1"/>
  <c r="N31" i="12"/>
  <c r="P31" i="12" s="1"/>
  <c r="N30" i="12"/>
  <c r="P30" i="12" s="1"/>
  <c r="N29" i="12"/>
  <c r="P29" i="12" s="1"/>
  <c r="N28" i="12"/>
  <c r="P28" i="12" s="1"/>
  <c r="N27" i="12"/>
  <c r="P27" i="12" s="1"/>
  <c r="N26" i="12"/>
  <c r="P26" i="12" s="1"/>
  <c r="N25" i="12"/>
  <c r="P25" i="12" s="1"/>
  <c r="N24" i="12"/>
  <c r="P24" i="12" s="1"/>
  <c r="N23" i="12"/>
  <c r="P23" i="12" s="1"/>
  <c r="N22" i="12"/>
  <c r="P22" i="12" s="1"/>
  <c r="N21" i="12"/>
  <c r="P21" i="12" s="1"/>
  <c r="N20" i="12"/>
  <c r="N18" i="12"/>
  <c r="P18" i="12" s="1"/>
  <c r="N17" i="12"/>
  <c r="P17" i="12" s="1"/>
  <c r="N16" i="12"/>
  <c r="P16" i="12" s="1"/>
  <c r="N15" i="12"/>
  <c r="P15" i="12" s="1"/>
  <c r="N14" i="12"/>
  <c r="P14" i="12" s="1"/>
  <c r="N13" i="12"/>
  <c r="P13" i="12" s="1"/>
  <c r="N12" i="12"/>
  <c r="P12" i="12" s="1"/>
  <c r="N11" i="12"/>
  <c r="P11" i="12" s="1"/>
  <c r="N10" i="12"/>
  <c r="P10" i="12" s="1"/>
  <c r="N9" i="12"/>
  <c r="P9" i="12" s="1"/>
  <c r="N8" i="12"/>
  <c r="P8" i="12" s="1"/>
  <c r="N7" i="12"/>
  <c r="P7" i="12" s="1"/>
  <c r="N6" i="12"/>
  <c r="P6" i="12" s="1"/>
  <c r="N5" i="12"/>
  <c r="P5" i="12" s="1"/>
  <c r="N4" i="12"/>
  <c r="P4" i="12" s="1"/>
  <c r="N3" i="12"/>
  <c r="P3" i="12" s="1"/>
  <c r="H45" i="4"/>
  <c r="H41" i="4"/>
  <c r="H21" i="4"/>
  <c r="H35" i="4"/>
  <c r="H44" i="4"/>
  <c r="N41" i="11"/>
  <c r="P41" i="11" s="1"/>
  <c r="N40" i="11"/>
  <c r="N42" i="11" s="1"/>
  <c r="N38" i="11"/>
  <c r="P38" i="11" s="1"/>
  <c r="N37" i="11"/>
  <c r="N36" i="11"/>
  <c r="P36" i="11" s="1"/>
  <c r="N35" i="11"/>
  <c r="P35" i="11" s="1"/>
  <c r="N34" i="11"/>
  <c r="P34" i="11" s="1"/>
  <c r="N32" i="11"/>
  <c r="P32" i="11" s="1"/>
  <c r="N31" i="11"/>
  <c r="P31" i="11" s="1"/>
  <c r="N30" i="11"/>
  <c r="P30" i="11" s="1"/>
  <c r="N29" i="11"/>
  <c r="P29" i="11" s="1"/>
  <c r="N28" i="11"/>
  <c r="P28" i="11" s="1"/>
  <c r="N27" i="11"/>
  <c r="P27" i="11" s="1"/>
  <c r="N26" i="11"/>
  <c r="P26" i="11" s="1"/>
  <c r="N25" i="11"/>
  <c r="P25" i="11" s="1"/>
  <c r="N24" i="11"/>
  <c r="P24" i="11" s="1"/>
  <c r="N23" i="11"/>
  <c r="P23" i="11" s="1"/>
  <c r="N22" i="11"/>
  <c r="P22" i="11" s="1"/>
  <c r="N21" i="11"/>
  <c r="P21" i="11" s="1"/>
  <c r="N20" i="11"/>
  <c r="N18" i="11"/>
  <c r="P18" i="11" s="1"/>
  <c r="N17" i="11"/>
  <c r="P17" i="11" s="1"/>
  <c r="N16" i="11"/>
  <c r="P16" i="11" s="1"/>
  <c r="N15" i="11"/>
  <c r="P15" i="11" s="1"/>
  <c r="N14" i="11"/>
  <c r="P14" i="11" s="1"/>
  <c r="N13" i="11"/>
  <c r="P13" i="11" s="1"/>
  <c r="N12" i="11"/>
  <c r="P12" i="11" s="1"/>
  <c r="N11" i="11"/>
  <c r="P11" i="11" s="1"/>
  <c r="N10" i="11"/>
  <c r="P10" i="11" s="1"/>
  <c r="N9" i="11"/>
  <c r="P9" i="11" s="1"/>
  <c r="N8" i="11"/>
  <c r="P8" i="11" s="1"/>
  <c r="N7" i="11"/>
  <c r="P7" i="11" s="1"/>
  <c r="N6" i="11"/>
  <c r="P6" i="11" s="1"/>
  <c r="N5" i="11"/>
  <c r="P5" i="11" s="1"/>
  <c r="N4" i="11"/>
  <c r="P4" i="11" s="1"/>
  <c r="N3" i="11"/>
  <c r="P3" i="11" s="1"/>
  <c r="G45" i="4"/>
  <c r="G21" i="4"/>
  <c r="G35" i="4"/>
  <c r="G41" i="4"/>
  <c r="G44" i="4"/>
  <c r="N41" i="10"/>
  <c r="P41" i="10" s="1"/>
  <c r="N40" i="10"/>
  <c r="N42" i="10" s="1"/>
  <c r="N38" i="10"/>
  <c r="P38" i="10" s="1"/>
  <c r="N37" i="10"/>
  <c r="N36" i="10"/>
  <c r="P36" i="10" s="1"/>
  <c r="N35" i="10"/>
  <c r="P35" i="10" s="1"/>
  <c r="N34" i="10"/>
  <c r="P34" i="10" s="1"/>
  <c r="N32" i="10"/>
  <c r="P32" i="10" s="1"/>
  <c r="N31" i="10"/>
  <c r="P31" i="10" s="1"/>
  <c r="N30" i="10"/>
  <c r="P30" i="10" s="1"/>
  <c r="N29" i="10"/>
  <c r="P29" i="10" s="1"/>
  <c r="N28" i="10"/>
  <c r="P28" i="10" s="1"/>
  <c r="N27" i="10"/>
  <c r="P27" i="10" s="1"/>
  <c r="N26" i="10"/>
  <c r="P26" i="10" s="1"/>
  <c r="N25" i="10"/>
  <c r="P25" i="10" s="1"/>
  <c r="N24" i="10"/>
  <c r="P24" i="10" s="1"/>
  <c r="N23" i="10"/>
  <c r="P23" i="10" s="1"/>
  <c r="N22" i="10"/>
  <c r="P22" i="10" s="1"/>
  <c r="N21" i="10"/>
  <c r="P21" i="10" s="1"/>
  <c r="N20" i="10"/>
  <c r="N18" i="10"/>
  <c r="P18" i="10" s="1"/>
  <c r="N17" i="10"/>
  <c r="P17" i="10" s="1"/>
  <c r="N16" i="10"/>
  <c r="P16" i="10" s="1"/>
  <c r="N15" i="10"/>
  <c r="P15" i="10" s="1"/>
  <c r="N14" i="10"/>
  <c r="P14" i="10" s="1"/>
  <c r="N13" i="10"/>
  <c r="P13" i="10" s="1"/>
  <c r="N12" i="10"/>
  <c r="P12" i="10" s="1"/>
  <c r="N11" i="10"/>
  <c r="P11" i="10" s="1"/>
  <c r="N10" i="10"/>
  <c r="P10" i="10" s="1"/>
  <c r="N9" i="10"/>
  <c r="P9" i="10" s="1"/>
  <c r="N8" i="10"/>
  <c r="P8" i="10" s="1"/>
  <c r="N7" i="10"/>
  <c r="P7" i="10" s="1"/>
  <c r="N6" i="10"/>
  <c r="P6" i="10" s="1"/>
  <c r="N5" i="10"/>
  <c r="P5" i="10" s="1"/>
  <c r="N4" i="10"/>
  <c r="P4" i="10" s="1"/>
  <c r="N3" i="10"/>
  <c r="F45" i="4"/>
  <c r="F21" i="4"/>
  <c r="F35" i="4"/>
  <c r="F41" i="4"/>
  <c r="F44" i="4"/>
  <c r="N39" i="9"/>
  <c r="N21" i="9"/>
  <c r="N22" i="9"/>
  <c r="N23" i="9"/>
  <c r="N24" i="9"/>
  <c r="N25" i="9"/>
  <c r="N26" i="9"/>
  <c r="N27" i="9"/>
  <c r="N28" i="9"/>
  <c r="N29" i="9"/>
  <c r="N30" i="9"/>
  <c r="N31" i="9"/>
  <c r="N32" i="9"/>
  <c r="N20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3" i="9"/>
  <c r="P3" i="9"/>
  <c r="N41" i="9"/>
  <c r="P41" i="9" s="1"/>
  <c r="N40" i="9"/>
  <c r="N42" i="9" s="1"/>
  <c r="N38" i="9"/>
  <c r="P38" i="9" s="1"/>
  <c r="N37" i="9"/>
  <c r="P37" i="9" s="1"/>
  <c r="N36" i="9"/>
  <c r="N35" i="9"/>
  <c r="P35" i="9" s="1"/>
  <c r="N34" i="9"/>
  <c r="P34" i="9" s="1"/>
  <c r="P32" i="9"/>
  <c r="P31" i="9"/>
  <c r="P30" i="9"/>
  <c r="P29" i="9"/>
  <c r="P28" i="9"/>
  <c r="P27" i="9"/>
  <c r="P26" i="9"/>
  <c r="P25" i="9"/>
  <c r="P24" i="9"/>
  <c r="P23" i="9"/>
  <c r="P22" i="9"/>
  <c r="P21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E45" i="4"/>
  <c r="N39" i="6"/>
  <c r="E21" i="4"/>
  <c r="E35" i="4"/>
  <c r="E41" i="4"/>
  <c r="E44" i="4"/>
  <c r="P3" i="6"/>
  <c r="N41" i="6"/>
  <c r="N40" i="6"/>
  <c r="N35" i="6"/>
  <c r="N36" i="6"/>
  <c r="N37" i="6"/>
  <c r="N38" i="6"/>
  <c r="N34" i="6"/>
  <c r="N21" i="6"/>
  <c r="N22" i="6"/>
  <c r="N23" i="6"/>
  <c r="N24" i="6"/>
  <c r="N25" i="6"/>
  <c r="N26" i="6"/>
  <c r="N27" i="6"/>
  <c r="N28" i="6"/>
  <c r="N29" i="6"/>
  <c r="N30" i="6"/>
  <c r="N31" i="6"/>
  <c r="N32" i="6"/>
  <c r="N20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3" i="6"/>
  <c r="BJ47" i="8"/>
  <c r="BJ46" i="8"/>
  <c r="BJ45" i="8"/>
  <c r="BJ44" i="8"/>
  <c r="BJ43" i="8"/>
  <c r="BJ42" i="8"/>
  <c r="BJ41" i="8"/>
  <c r="BJ40" i="8"/>
  <c r="BJ39" i="8"/>
  <c r="BJ38" i="8"/>
  <c r="BJ37" i="8"/>
  <c r="AA37" i="8"/>
  <c r="BJ36" i="8"/>
  <c r="AA36" i="8"/>
  <c r="BJ35" i="8"/>
  <c r="AA35" i="8"/>
  <c r="BJ34" i="8"/>
  <c r="AA34" i="8"/>
  <c r="BJ33" i="8"/>
  <c r="AA33" i="8"/>
  <c r="BJ32" i="8"/>
  <c r="AA32" i="8"/>
  <c r="BJ31" i="8"/>
  <c r="AA31" i="8"/>
  <c r="BJ30" i="8"/>
  <c r="AA30" i="8"/>
  <c r="BJ29" i="8"/>
  <c r="AA29" i="8"/>
  <c r="BJ28" i="8"/>
  <c r="AA28" i="8"/>
  <c r="BJ27" i="8"/>
  <c r="AA27" i="8"/>
  <c r="BJ26" i="8"/>
  <c r="AA26" i="8"/>
  <c r="BJ25" i="8"/>
  <c r="AA25" i="8"/>
  <c r="BJ24" i="8"/>
  <c r="AA24" i="8"/>
  <c r="BJ23" i="8"/>
  <c r="BJ21" i="8"/>
  <c r="AA21" i="8"/>
  <c r="BJ20" i="8"/>
  <c r="AA20" i="8"/>
  <c r="BJ19" i="8"/>
  <c r="AA19" i="8"/>
  <c r="BJ18" i="8"/>
  <c r="AA18" i="8"/>
  <c r="BJ17" i="8"/>
  <c r="AA17" i="8"/>
  <c r="BJ16" i="8"/>
  <c r="AA16" i="8"/>
  <c r="BJ15" i="8"/>
  <c r="AA15" i="8"/>
  <c r="BJ14" i="8"/>
  <c r="AA14" i="8"/>
  <c r="BJ13" i="8"/>
  <c r="AA13" i="8"/>
  <c r="BJ12" i="8"/>
  <c r="AA12" i="8"/>
  <c r="BJ11" i="8"/>
  <c r="AA11" i="8"/>
  <c r="BJ10" i="8"/>
  <c r="AA10" i="8"/>
  <c r="BJ9" i="8"/>
  <c r="AA9" i="8"/>
  <c r="BJ8" i="8"/>
  <c r="AA8" i="8"/>
  <c r="BJ7" i="8"/>
  <c r="AA7" i="8"/>
  <c r="BJ6" i="8"/>
  <c r="AA6" i="8"/>
  <c r="BJ5" i="8"/>
  <c r="BJ22" i="8" s="1"/>
  <c r="AA5" i="8"/>
  <c r="AA22" i="8" s="1"/>
  <c r="P3" i="5"/>
  <c r="P3" i="2"/>
  <c r="P41" i="6"/>
  <c r="N42" i="6"/>
  <c r="P38" i="6"/>
  <c r="P37" i="6"/>
  <c r="P36" i="6"/>
  <c r="P35" i="6"/>
  <c r="P32" i="6"/>
  <c r="P31" i="6"/>
  <c r="P30" i="6"/>
  <c r="P29" i="6"/>
  <c r="P28" i="6"/>
  <c r="P27" i="6"/>
  <c r="P26" i="6"/>
  <c r="P25" i="6"/>
  <c r="P24" i="6"/>
  <c r="P23" i="6"/>
  <c r="P22" i="6"/>
  <c r="P21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N19" i="6"/>
  <c r="D45" i="4"/>
  <c r="N39" i="5"/>
  <c r="D21" i="4"/>
  <c r="D35" i="4"/>
  <c r="D41" i="4"/>
  <c r="D44" i="4"/>
  <c r="N41" i="5"/>
  <c r="N40" i="5"/>
  <c r="N36" i="5"/>
  <c r="N37" i="5"/>
  <c r="N38" i="5"/>
  <c r="N34" i="5"/>
  <c r="N21" i="5"/>
  <c r="N22" i="5"/>
  <c r="N23" i="5"/>
  <c r="N24" i="5"/>
  <c r="N25" i="5"/>
  <c r="N26" i="5"/>
  <c r="N27" i="5"/>
  <c r="N28" i="5"/>
  <c r="N29" i="5"/>
  <c r="N30" i="5"/>
  <c r="N31" i="5"/>
  <c r="N32" i="5"/>
  <c r="N20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3" i="5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2" i="4"/>
  <c r="AG43" i="4"/>
  <c r="AG44" i="4"/>
  <c r="AG5" i="4"/>
  <c r="P41" i="5"/>
  <c r="N42" i="5"/>
  <c r="P38" i="5"/>
  <c r="P37" i="5"/>
  <c r="P36" i="5"/>
  <c r="P35" i="5"/>
  <c r="P32" i="5"/>
  <c r="P31" i="5"/>
  <c r="P30" i="5"/>
  <c r="P29" i="5"/>
  <c r="P28" i="5"/>
  <c r="P27" i="5"/>
  <c r="P26" i="5"/>
  <c r="P25" i="5"/>
  <c r="P24" i="5"/>
  <c r="P23" i="5"/>
  <c r="P22" i="5"/>
  <c r="P21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C21" i="4"/>
  <c r="C44" i="4"/>
  <c r="C41" i="4"/>
  <c r="C35" i="4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3" i="2"/>
  <c r="N41" i="2"/>
  <c r="N40" i="2"/>
  <c r="N36" i="2"/>
  <c r="N37" i="2"/>
  <c r="N38" i="2"/>
  <c r="N34" i="2"/>
  <c r="N21" i="2"/>
  <c r="N22" i="2"/>
  <c r="N23" i="2"/>
  <c r="N24" i="2"/>
  <c r="N25" i="2"/>
  <c r="N26" i="2"/>
  <c r="N27" i="2"/>
  <c r="N28" i="2"/>
  <c r="N29" i="2"/>
  <c r="N30" i="2"/>
  <c r="N31" i="2"/>
  <c r="N32" i="2"/>
  <c r="N20" i="2"/>
  <c r="P41" i="2"/>
  <c r="N42" i="2"/>
  <c r="P38" i="2"/>
  <c r="P37" i="2"/>
  <c r="P36" i="2"/>
  <c r="P35" i="2"/>
  <c r="P32" i="2"/>
  <c r="P31" i="2"/>
  <c r="P30" i="2"/>
  <c r="P29" i="2"/>
  <c r="P28" i="2"/>
  <c r="P27" i="2"/>
  <c r="P26" i="2"/>
  <c r="P25" i="2"/>
  <c r="P24" i="2"/>
  <c r="P23" i="2"/>
  <c r="P22" i="2"/>
  <c r="P21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N19" i="15" l="1"/>
  <c r="P3" i="15"/>
  <c r="N33" i="15"/>
  <c r="P20" i="15"/>
  <c r="N39" i="15"/>
  <c r="P37" i="15"/>
  <c r="N42" i="15"/>
  <c r="N43" i="15" s="1"/>
  <c r="P40" i="15"/>
  <c r="N19" i="14"/>
  <c r="P3" i="14"/>
  <c r="N33" i="14"/>
  <c r="P20" i="14"/>
  <c r="N39" i="14"/>
  <c r="P37" i="14"/>
  <c r="N42" i="14"/>
  <c r="N43" i="14" s="1"/>
  <c r="P40" i="14"/>
  <c r="N19" i="13"/>
  <c r="P3" i="13"/>
  <c r="N33" i="13"/>
  <c r="P20" i="13"/>
  <c r="N39" i="13"/>
  <c r="P37" i="13"/>
  <c r="N42" i="13"/>
  <c r="N43" i="13" s="1"/>
  <c r="P40" i="13"/>
  <c r="N19" i="12"/>
  <c r="N33" i="12"/>
  <c r="P20" i="12"/>
  <c r="N39" i="12"/>
  <c r="P37" i="12"/>
  <c r="N43" i="12"/>
  <c r="N19" i="11"/>
  <c r="N33" i="11"/>
  <c r="P20" i="11"/>
  <c r="N39" i="11"/>
  <c r="P37" i="11"/>
  <c r="N43" i="11"/>
  <c r="N19" i="10"/>
  <c r="P3" i="10"/>
  <c r="N33" i="10"/>
  <c r="P20" i="10"/>
  <c r="N39" i="10"/>
  <c r="P37" i="10"/>
  <c r="N43" i="10"/>
  <c r="N19" i="9"/>
  <c r="N33" i="9"/>
  <c r="P20" i="9"/>
  <c r="P36" i="9"/>
  <c r="N43" i="9"/>
  <c r="AA38" i="8"/>
  <c r="N33" i="6"/>
  <c r="P20" i="6"/>
  <c r="P34" i="6"/>
  <c r="N43" i="6"/>
  <c r="AG41" i="4"/>
  <c r="C45" i="4"/>
  <c r="AG45" i="4" s="1"/>
  <c r="N33" i="5"/>
  <c r="P20" i="5"/>
  <c r="P34" i="5"/>
  <c r="N19" i="2"/>
  <c r="N33" i="2"/>
  <c r="P20" i="2"/>
  <c r="N39" i="2"/>
  <c r="P34" i="2"/>
  <c r="N43" i="2"/>
  <c r="N19" i="5"/>
  <c r="N43" i="5" s="1"/>
</calcChain>
</file>

<file path=xl/sharedStrings.xml><?xml version="1.0" encoding="utf-8"?>
<sst xmlns="http://schemas.openxmlformats.org/spreadsheetml/2006/main" count="968" uniqueCount="68">
  <si>
    <t>JUNE 2026 FIBRE</t>
  </si>
  <si>
    <t>Saturday</t>
  </si>
  <si>
    <t>No.</t>
  </si>
  <si>
    <t xml:space="preserve">Name </t>
  </si>
  <si>
    <t>FIBRE</t>
  </si>
  <si>
    <t>TOTAL</t>
  </si>
  <si>
    <t>Target</t>
  </si>
  <si>
    <t>Excess</t>
  </si>
  <si>
    <t>Samwel Mukule</t>
  </si>
  <si>
    <t>Antony Mariera</t>
  </si>
  <si>
    <t>Joshua Marege Ariemo</t>
  </si>
  <si>
    <t>Beth Wanjiku</t>
  </si>
  <si>
    <t>Elizabeth Vitemo</t>
  </si>
  <si>
    <t>Mary Titus</t>
  </si>
  <si>
    <t>Hannah Wambui Karuri</t>
  </si>
  <si>
    <t>Priscilla Wangui Mburu</t>
  </si>
  <si>
    <t>Mary Ndulu Muinde</t>
  </si>
  <si>
    <t>Cosmus Musyoki Kanini</t>
  </si>
  <si>
    <t>Jael Akatekit Okomoi</t>
  </si>
  <si>
    <t xml:space="preserve">Ruth Wangari </t>
  </si>
  <si>
    <t>Cleophas Ombala</t>
  </si>
  <si>
    <t>Limnorah Abondo</t>
  </si>
  <si>
    <t>David Mutembei</t>
  </si>
  <si>
    <t>Lydiah Mweru</t>
  </si>
  <si>
    <t>SUM TOTAL</t>
  </si>
  <si>
    <t>Protus Wekesa</t>
  </si>
  <si>
    <t>Elizabeth Makasi</t>
  </si>
  <si>
    <t>Nancy Akoth</t>
  </si>
  <si>
    <t>Samuel Mumo</t>
  </si>
  <si>
    <t>Calvince Mwongela</t>
  </si>
  <si>
    <t>Tobias Otunge</t>
  </si>
  <si>
    <t>Charles Thuo</t>
  </si>
  <si>
    <t>Scofia Njeri</t>
  </si>
  <si>
    <t>Gideon Gicharu</t>
  </si>
  <si>
    <t>Brian Njagi</t>
  </si>
  <si>
    <t>Agnes Wangui</t>
  </si>
  <si>
    <t>Carol Mbithe</t>
  </si>
  <si>
    <t>Patrick Muthui</t>
  </si>
  <si>
    <t>Beatrice Wanza</t>
  </si>
  <si>
    <t xml:space="preserve">Jeniffer </t>
  </si>
  <si>
    <t>Factory</t>
  </si>
  <si>
    <t>Victoria</t>
  </si>
  <si>
    <t>Julia Njoki</t>
  </si>
  <si>
    <t>Zipporah</t>
  </si>
  <si>
    <t>Brian Nyangule</t>
  </si>
  <si>
    <t>Graiton Pamba</t>
  </si>
  <si>
    <t xml:space="preserve">GRAND TOTAL </t>
  </si>
  <si>
    <t>Monday</t>
  </si>
  <si>
    <t>Tuesday</t>
  </si>
  <si>
    <t>JULY 2026 FIBRE</t>
  </si>
  <si>
    <t>wednesday</t>
  </si>
  <si>
    <t>Thursday</t>
  </si>
  <si>
    <t>Friday</t>
  </si>
  <si>
    <t>Wednesday</t>
  </si>
  <si>
    <t>JUNE-JULY 2026 FIBRE</t>
  </si>
  <si>
    <t>END OF</t>
  </si>
  <si>
    <t>PAYROLL</t>
  </si>
  <si>
    <t>TOTALS</t>
  </si>
  <si>
    <t>Facory</t>
  </si>
  <si>
    <t>MARCH - APRIL 2026 FIBRE</t>
  </si>
  <si>
    <t>TOTAL KGS</t>
  </si>
  <si>
    <t>Manure</t>
  </si>
  <si>
    <t>Holiday</t>
  </si>
  <si>
    <t>Off day</t>
  </si>
  <si>
    <t>Absent</t>
  </si>
  <si>
    <t>Beatrice Kathini</t>
  </si>
  <si>
    <t>Doreen Nyabuto</t>
  </si>
  <si>
    <t>Michael Nzioka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</si>
</sst>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1" fontId="5" fillId="0" borderId="18" xfId="0" applyNumberFormat="1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1" xfId="0" applyFont="1" applyBorder="1"/>
    <xf numFmtId="0" fontId="5" fillId="0" borderId="3" xfId="0" applyFont="1" applyBorder="1"/>
    <xf numFmtId="0" fontId="5" fillId="0" borderId="24" xfId="0" applyFont="1" applyBorder="1"/>
    <xf numFmtId="0" fontId="2" fillId="0" borderId="25" xfId="0" applyFont="1" applyBorder="1" applyAlignment="1">
      <alignment horizontal="center"/>
    </xf>
    <xf numFmtId="0" fontId="2" fillId="0" borderId="8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28" xfId="0" applyBorder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/>
    <xf numFmtId="0" fontId="5" fillId="0" borderId="28" xfId="0" applyFont="1" applyBorder="1"/>
    <xf numFmtId="0" fontId="0" fillId="0" borderId="33" xfId="0" applyBorder="1"/>
    <xf numFmtId="0" fontId="5" fillId="0" borderId="34" xfId="0" applyFont="1" applyBorder="1"/>
    <xf numFmtId="0" fontId="0" fillId="0" borderId="35" xfId="0" applyBorder="1"/>
    <xf numFmtId="0" fontId="5" fillId="0" borderId="36" xfId="0" applyFont="1" applyBorder="1"/>
    <xf numFmtId="0" fontId="5" fillId="0" borderId="37" xfId="0" applyFont="1" applyBorder="1"/>
    <xf numFmtId="0" fontId="0" fillId="0" borderId="27" xfId="0" applyBorder="1"/>
    <xf numFmtId="0" fontId="2" fillId="0" borderId="19" xfId="0" applyFont="1" applyBorder="1"/>
    <xf numFmtId="0" fontId="5" fillId="0" borderId="38" xfId="0" applyFont="1" applyBorder="1"/>
    <xf numFmtId="0" fontId="0" fillId="0" borderId="39" xfId="0" applyBorder="1"/>
    <xf numFmtId="0" fontId="0" fillId="0" borderId="30" xfId="0" applyBorder="1"/>
    <xf numFmtId="0" fontId="0" fillId="0" borderId="31" xfId="0" applyBorder="1"/>
    <xf numFmtId="0" fontId="0" fillId="0" borderId="20" xfId="0" applyBorder="1"/>
    <xf numFmtId="0" fontId="0" fillId="0" borderId="18" xfId="0" applyBorder="1"/>
    <xf numFmtId="0" fontId="0" fillId="0" borderId="21" xfId="0" applyBorder="1"/>
    <xf numFmtId="0" fontId="5" fillId="0" borderId="40" xfId="0" applyFont="1" applyBorder="1"/>
    <xf numFmtId="0" fontId="0" fillId="0" borderId="22" xfId="0" applyBorder="1"/>
    <xf numFmtId="0" fontId="0" fillId="0" borderId="23" xfId="0" applyBorder="1"/>
    <xf numFmtId="0" fontId="0" fillId="0" borderId="1" xfId="0" applyBorder="1"/>
    <xf numFmtId="1" fontId="5" fillId="0" borderId="23" xfId="0" applyNumberFormat="1" applyFont="1" applyBorder="1"/>
    <xf numFmtId="0" fontId="2" fillId="0" borderId="25" xfId="0" applyFont="1" applyBorder="1"/>
    <xf numFmtId="0" fontId="2" fillId="0" borderId="5" xfId="0" applyFont="1" applyBorder="1"/>
    <xf numFmtId="0" fontId="1" fillId="0" borderId="6" xfId="0" applyFont="1" applyBorder="1"/>
    <xf numFmtId="0" fontId="1" fillId="0" borderId="41" xfId="0" applyFont="1" applyBorder="1"/>
    <xf numFmtId="0" fontId="5" fillId="0" borderId="42" xfId="0" applyFont="1" applyBorder="1"/>
    <xf numFmtId="0" fontId="5" fillId="0" borderId="4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44" xfId="0" applyFont="1" applyBorder="1"/>
    <xf numFmtId="0" fontId="5" fillId="0" borderId="20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45" xfId="0" applyFont="1" applyBorder="1"/>
    <xf numFmtId="0" fontId="5" fillId="0" borderId="46" xfId="0" applyFont="1" applyBorder="1"/>
    <xf numFmtId="0" fontId="5" fillId="0" borderId="47" xfId="0" applyFont="1" applyBorder="1"/>
    <xf numFmtId="0" fontId="2" fillId="0" borderId="47" xfId="0" applyFont="1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1" fillId="0" borderId="2" xfId="0" applyFont="1" applyBorder="1"/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0" fontId="2" fillId="0" borderId="51" xfId="0" applyFont="1" applyBorder="1"/>
    <xf numFmtId="0" fontId="5" fillId="0" borderId="52" xfId="0" applyFont="1" applyBorder="1"/>
    <xf numFmtId="0" fontId="3" fillId="0" borderId="53" xfId="0" applyFont="1" applyBorder="1"/>
    <xf numFmtId="0" fontId="2" fillId="0" borderId="26" xfId="0" applyFont="1" applyBorder="1"/>
    <xf numFmtId="0" fontId="2" fillId="0" borderId="3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14" fontId="2" fillId="2" borderId="47" xfId="0" applyNumberFormat="1" applyFont="1" applyFill="1" applyBorder="1" applyAlignment="1">
      <alignment horizontal="left"/>
    </xf>
    <xf numFmtId="0" fontId="2" fillId="0" borderId="41" xfId="0" applyFont="1" applyBorder="1"/>
    <xf numFmtId="164" fontId="2" fillId="0" borderId="54" xfId="0" applyNumberFormat="1" applyFont="1" applyBorder="1" applyAlignment="1">
      <alignment horizontal="left"/>
    </xf>
    <xf numFmtId="14" fontId="2" fillId="2" borderId="54" xfId="0" applyNumberFormat="1" applyFont="1" applyFill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5" fillId="0" borderId="25" xfId="0" applyFont="1" applyBorder="1"/>
    <xf numFmtId="0" fontId="5" fillId="0" borderId="17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55" xfId="0" applyFont="1" applyBorder="1"/>
    <xf numFmtId="0" fontId="2" fillId="0" borderId="25" xfId="0" applyFont="1" applyBorder="1" applyAlignment="1">
      <alignment horizontal="right"/>
    </xf>
    <xf numFmtId="0" fontId="2" fillId="0" borderId="56" xfId="0" applyFont="1" applyBorder="1"/>
    <xf numFmtId="0" fontId="2" fillId="0" borderId="28" xfId="0" applyFont="1" applyBorder="1"/>
    <xf numFmtId="0" fontId="0" fillId="0" borderId="57" xfId="0" applyBorder="1"/>
    <xf numFmtId="0" fontId="5" fillId="0" borderId="57" xfId="0" applyFont="1" applyBorder="1"/>
    <xf numFmtId="0" fontId="5" fillId="0" borderId="38" xfId="0" applyFont="1" applyBorder="1" applyAlignment="1">
      <alignment horizontal="right"/>
    </xf>
    <xf numFmtId="0" fontId="0" fillId="0" borderId="44" xfId="0" applyBorder="1"/>
    <xf numFmtId="0" fontId="5" fillId="0" borderId="33" xfId="0" applyFont="1" applyBorder="1"/>
    <xf numFmtId="3" fontId="5" fillId="0" borderId="33" xfId="0" applyNumberFormat="1" applyFont="1" applyBorder="1"/>
    <xf numFmtId="3" fontId="5" fillId="0" borderId="44" xfId="0" applyNumberFormat="1" applyFont="1" applyBorder="1"/>
    <xf numFmtId="3" fontId="5" fillId="0" borderId="17" xfId="0" applyNumberFormat="1" applyFont="1" applyBorder="1"/>
    <xf numFmtId="3" fontId="5" fillId="0" borderId="15" xfId="0" applyNumberFormat="1" applyFont="1" applyBorder="1"/>
    <xf numFmtId="0" fontId="0" fillId="0" borderId="15" xfId="0" applyBorder="1"/>
    <xf numFmtId="0" fontId="0" fillId="0" borderId="17" xfId="0" applyBorder="1"/>
    <xf numFmtId="0" fontId="0" fillId="0" borderId="46" xfId="0" applyBorder="1"/>
    <xf numFmtId="0" fontId="0" fillId="0" borderId="45" xfId="0" applyBorder="1"/>
    <xf numFmtId="0" fontId="0" fillId="0" borderId="40" xfId="0" applyBorder="1"/>
    <xf numFmtId="0" fontId="5" fillId="0" borderId="40" xfId="0" applyFont="1" applyBorder="1" applyAlignment="1">
      <alignment horizontal="right"/>
    </xf>
    <xf numFmtId="0" fontId="5" fillId="0" borderId="35" xfId="0" applyFont="1" applyBorder="1"/>
    <xf numFmtId="0" fontId="5" fillId="0" borderId="27" xfId="0" applyFont="1" applyBorder="1"/>
    <xf numFmtId="0" fontId="1" fillId="0" borderId="4" xfId="0" applyFont="1" applyBorder="1"/>
    <xf numFmtId="0" fontId="1" fillId="0" borderId="47" xfId="0" applyFont="1" applyBorder="1"/>
    <xf numFmtId="0" fontId="1" fillId="0" borderId="5" xfId="0" applyFont="1" applyBorder="1"/>
    <xf numFmtId="0" fontId="2" fillId="0" borderId="5" xfId="0" applyFont="1" applyBorder="1" applyAlignment="1">
      <alignment horizontal="right"/>
    </xf>
    <xf numFmtId="0" fontId="1" fillId="0" borderId="58" xfId="0" applyFont="1" applyBorder="1"/>
    <xf numFmtId="0" fontId="2" fillId="0" borderId="58" xfId="0" applyFont="1" applyBorder="1"/>
    <xf numFmtId="0" fontId="1" fillId="0" borderId="53" xfId="0" applyFont="1" applyBorder="1"/>
    <xf numFmtId="0" fontId="2" fillId="0" borderId="48" xfId="0" applyFont="1" applyBorder="1" applyAlignment="1">
      <alignment horizontal="right"/>
    </xf>
    <xf numFmtId="0" fontId="1" fillId="0" borderId="0" xfId="0" applyFont="1"/>
    <xf numFmtId="0" fontId="2" fillId="0" borderId="59" xfId="0" applyFont="1" applyBorder="1"/>
    <xf numFmtId="0" fontId="2" fillId="0" borderId="60" xfId="0" applyFont="1" applyBorder="1"/>
    <xf numFmtId="164" fontId="2" fillId="0" borderId="47" xfId="0" applyNumberFormat="1" applyFont="1" applyBorder="1" applyAlignment="1">
      <alignment horizontal="left"/>
    </xf>
    <xf numFmtId="164" fontId="2" fillId="0" borderId="4" xfId="0" applyNumberFormat="1" applyFont="1" applyBorder="1" applyAlignment="1">
      <alignment horizontal="left"/>
    </xf>
    <xf numFmtId="0" fontId="2" fillId="0" borderId="27" xfId="0" applyFont="1" applyBorder="1"/>
    <xf numFmtId="0" fontId="0" fillId="0" borderId="38" xfId="0" applyBorder="1"/>
    <xf numFmtId="0" fontId="5" fillId="0" borderId="61" xfId="0" applyFont="1" applyBorder="1" applyAlignment="1">
      <alignment horizontal="right"/>
    </xf>
    <xf numFmtId="0" fontId="5" fillId="0" borderId="62" xfId="0" applyFont="1" applyBorder="1"/>
    <xf numFmtId="0" fontId="0" fillId="0" borderId="55" xfId="0" applyBorder="1"/>
    <xf numFmtId="0" fontId="0" fillId="0" borderId="63" xfId="0" applyBorder="1"/>
    <xf numFmtId="0" fontId="5" fillId="0" borderId="41" xfId="0" applyFont="1" applyBorder="1"/>
    <xf numFmtId="0" fontId="2" fillId="0" borderId="2" xfId="0" applyFont="1" applyBorder="1" applyAlignment="1">
      <alignment horizontal="right"/>
    </xf>
    <xf numFmtId="0" fontId="1" fillId="0" borderId="51" xfId="0" applyFont="1" applyBorder="1"/>
    <xf numFmtId="0" fontId="5" fillId="0" borderId="2" xfId="0" applyFont="1" applyBorder="1"/>
    <xf numFmtId="0" fontId="2" fillId="0" borderId="64" xfId="0" applyFont="1" applyBorder="1"/>
    <xf numFmtId="0" fontId="5" fillId="0" borderId="54" xfId="0" applyFont="1" applyBorder="1"/>
    <xf numFmtId="0" fontId="5" fillId="0" borderId="0" xfId="0" applyFont="1"/>
    <xf numFmtId="3" fontId="1" fillId="0" borderId="0" xfId="0" applyNumberFormat="1" applyFont="1"/>
    <xf numFmtId="0" fontId="2" fillId="0" borderId="5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0913-3964-4A8D-97C6-F48B4873BD99}">
  <dimension ref="A1:P43"/>
  <sheetViews>
    <sheetView workbookViewId="0">
      <selection activeCell="P1" sqref="P1"/>
    </sheetView>
  </sheetViews>
  <sheetFormatPr defaultRowHeight="15"/>
  <cols>
    <col min="2" max="2" width="21.28515625" customWidth="1"/>
    <col min="3" max="3" width="3.7109375" customWidth="1"/>
    <col min="4" max="4" width="3.85546875" customWidth="1"/>
    <col min="5" max="6" width="3.7109375" customWidth="1"/>
    <col min="7" max="8" width="3.85546875" customWidth="1"/>
    <col min="9" max="10" width="3.5703125" customWidth="1"/>
    <col min="11" max="12" width="3.7109375" customWidth="1"/>
    <col min="13" max="13" width="5" customWidth="1"/>
  </cols>
  <sheetData>
    <row r="1" spans="1:16" ht="15.75">
      <c r="A1" s="1"/>
      <c r="B1" s="2" t="s">
        <v>0</v>
      </c>
      <c r="L1">
        <v>62</v>
      </c>
      <c r="N1" s="3" t="s">
        <v>1</v>
      </c>
    </row>
    <row r="2" spans="1:16">
      <c r="A2" s="3" t="s">
        <v>2</v>
      </c>
      <c r="B2" s="4" t="s">
        <v>3</v>
      </c>
      <c r="C2" s="143" t="s">
        <v>4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3" t="s">
        <v>5</v>
      </c>
      <c r="O2" s="6" t="s">
        <v>6</v>
      </c>
      <c r="P2" s="7" t="s">
        <v>7</v>
      </c>
    </row>
    <row r="3" spans="1:16">
      <c r="A3" s="8">
        <v>1</v>
      </c>
      <c r="B3" s="9" t="s">
        <v>8</v>
      </c>
      <c r="C3" s="10">
        <v>91</v>
      </c>
      <c r="D3" s="11">
        <v>62</v>
      </c>
      <c r="E3" s="11">
        <v>69</v>
      </c>
      <c r="F3" s="11">
        <v>96</v>
      </c>
      <c r="G3" s="11">
        <v>64</v>
      </c>
      <c r="H3" s="11">
        <v>70</v>
      </c>
      <c r="I3" s="12">
        <v>93</v>
      </c>
      <c r="J3" s="13">
        <v>95</v>
      </c>
      <c r="K3" s="13">
        <v>72</v>
      </c>
      <c r="L3" s="13"/>
      <c r="M3" s="14"/>
      <c r="N3" s="8">
        <f>SUM(C3:M3)</f>
        <v>712</v>
      </c>
      <c r="O3" s="9">
        <v>250</v>
      </c>
      <c r="P3" s="18">
        <f t="shared" ref="P3:P32" si="0">N3-O3</f>
        <v>462</v>
      </c>
    </row>
    <row r="4" spans="1:16">
      <c r="A4" s="15">
        <v>2</v>
      </c>
      <c r="B4" s="16" t="s">
        <v>9</v>
      </c>
      <c r="C4" s="17">
        <v>83</v>
      </c>
      <c r="D4" s="18">
        <v>67</v>
      </c>
      <c r="E4" s="18">
        <v>75</v>
      </c>
      <c r="F4" s="18">
        <v>66</v>
      </c>
      <c r="G4" s="18">
        <v>70</v>
      </c>
      <c r="H4" s="18">
        <v>89</v>
      </c>
      <c r="I4" s="18">
        <v>91</v>
      </c>
      <c r="J4" s="13">
        <v>89</v>
      </c>
      <c r="K4" s="13">
        <v>60</v>
      </c>
      <c r="L4" s="13"/>
      <c r="M4" s="14"/>
      <c r="N4" s="8">
        <f t="shared" ref="N4:N18" si="1">SUM(C4:M4)</f>
        <v>690</v>
      </c>
      <c r="O4" s="16">
        <v>250</v>
      </c>
      <c r="P4" s="18">
        <f t="shared" si="0"/>
        <v>440</v>
      </c>
    </row>
    <row r="5" spans="1:16">
      <c r="A5" s="19">
        <v>3</v>
      </c>
      <c r="B5" s="16" t="s">
        <v>10</v>
      </c>
      <c r="C5" s="20">
        <v>71</v>
      </c>
      <c r="D5" s="13">
        <v>62</v>
      </c>
      <c r="E5" s="13">
        <v>60</v>
      </c>
      <c r="F5" s="13">
        <v>68</v>
      </c>
      <c r="G5" s="13">
        <v>58</v>
      </c>
      <c r="H5" s="13">
        <v>56</v>
      </c>
      <c r="I5" s="13">
        <v>48</v>
      </c>
      <c r="J5" s="13">
        <v>61</v>
      </c>
      <c r="K5" s="13">
        <v>58</v>
      </c>
      <c r="L5" s="13">
        <v>55</v>
      </c>
      <c r="M5" s="14">
        <v>50</v>
      </c>
      <c r="N5" s="8">
        <f t="shared" si="1"/>
        <v>647</v>
      </c>
      <c r="O5" s="16">
        <v>250</v>
      </c>
      <c r="P5" s="21">
        <f t="shared" si="0"/>
        <v>397</v>
      </c>
    </row>
    <row r="6" spans="1:16">
      <c r="A6" s="15">
        <v>4</v>
      </c>
      <c r="B6" s="16" t="s">
        <v>11</v>
      </c>
      <c r="C6" s="20"/>
      <c r="D6" s="18"/>
      <c r="E6" s="18"/>
      <c r="F6" s="18"/>
      <c r="G6" s="18"/>
      <c r="H6" s="18"/>
      <c r="I6" s="18"/>
      <c r="J6" s="18"/>
      <c r="K6" s="18"/>
      <c r="L6" s="18"/>
      <c r="M6" s="22"/>
      <c r="N6" s="8">
        <f t="shared" si="1"/>
        <v>0</v>
      </c>
      <c r="O6" s="16">
        <v>250</v>
      </c>
      <c r="P6" s="18">
        <f>N6-O6</f>
        <v>-250</v>
      </c>
    </row>
    <row r="7" spans="1:16">
      <c r="A7" s="19">
        <v>5</v>
      </c>
      <c r="B7" s="16" t="s">
        <v>12</v>
      </c>
      <c r="C7" s="20">
        <v>67</v>
      </c>
      <c r="D7" s="18">
        <v>57</v>
      </c>
      <c r="E7" s="18">
        <v>59</v>
      </c>
      <c r="F7" s="18">
        <v>61</v>
      </c>
      <c r="G7" s="18">
        <v>62</v>
      </c>
      <c r="H7" s="18">
        <v>57</v>
      </c>
      <c r="I7" s="18">
        <v>65</v>
      </c>
      <c r="J7" s="18">
        <v>66</v>
      </c>
      <c r="K7" s="18">
        <v>57</v>
      </c>
      <c r="L7" s="18">
        <v>32</v>
      </c>
      <c r="M7" s="22"/>
      <c r="N7" s="8">
        <f t="shared" si="1"/>
        <v>583</v>
      </c>
      <c r="O7" s="16">
        <v>250</v>
      </c>
      <c r="P7" s="18">
        <f t="shared" si="0"/>
        <v>333</v>
      </c>
    </row>
    <row r="8" spans="1:16">
      <c r="A8" s="15">
        <v>6</v>
      </c>
      <c r="B8" s="16" t="s">
        <v>13</v>
      </c>
      <c r="C8" s="20">
        <v>56</v>
      </c>
      <c r="D8" s="18">
        <v>47</v>
      </c>
      <c r="E8" s="18">
        <v>63</v>
      </c>
      <c r="F8" s="18">
        <v>72</v>
      </c>
      <c r="G8" s="18">
        <v>69</v>
      </c>
      <c r="H8" s="18">
        <v>69</v>
      </c>
      <c r="I8" s="18">
        <v>66</v>
      </c>
      <c r="J8" s="18">
        <v>67</v>
      </c>
      <c r="K8" s="18"/>
      <c r="L8" s="18"/>
      <c r="M8" s="22"/>
      <c r="N8" s="8">
        <f t="shared" si="1"/>
        <v>509</v>
      </c>
      <c r="O8" s="16">
        <v>250</v>
      </c>
      <c r="P8" s="18">
        <f t="shared" si="0"/>
        <v>259</v>
      </c>
    </row>
    <row r="9" spans="1:16">
      <c r="A9" s="19">
        <v>7</v>
      </c>
      <c r="B9" s="16" t="s">
        <v>14</v>
      </c>
      <c r="C9" s="20"/>
      <c r="D9" s="18"/>
      <c r="E9" s="18"/>
      <c r="F9" s="18"/>
      <c r="G9" s="18"/>
      <c r="H9" s="18"/>
      <c r="I9" s="18"/>
      <c r="J9" s="18"/>
      <c r="K9" s="18"/>
      <c r="L9" s="18"/>
      <c r="M9" s="22"/>
      <c r="N9" s="8">
        <f t="shared" si="1"/>
        <v>0</v>
      </c>
      <c r="O9" s="16">
        <v>250</v>
      </c>
      <c r="P9" s="18">
        <f t="shared" si="0"/>
        <v>-250</v>
      </c>
    </row>
    <row r="10" spans="1:16">
      <c r="A10" s="15">
        <v>8</v>
      </c>
      <c r="B10" s="16" t="s">
        <v>15</v>
      </c>
      <c r="C10" s="20">
        <v>56</v>
      </c>
      <c r="D10" s="18">
        <v>69</v>
      </c>
      <c r="E10" s="18">
        <v>62</v>
      </c>
      <c r="F10" s="18">
        <v>50</v>
      </c>
      <c r="G10" s="18">
        <v>40</v>
      </c>
      <c r="H10" s="18">
        <v>62</v>
      </c>
      <c r="I10" s="18">
        <v>59</v>
      </c>
      <c r="J10" s="18">
        <v>50</v>
      </c>
      <c r="K10" s="18">
        <v>56</v>
      </c>
      <c r="L10" s="18"/>
      <c r="M10" s="22"/>
      <c r="N10" s="8">
        <f t="shared" si="1"/>
        <v>504</v>
      </c>
      <c r="O10" s="16">
        <v>250</v>
      </c>
      <c r="P10" s="18">
        <f t="shared" si="0"/>
        <v>254</v>
      </c>
    </row>
    <row r="11" spans="1:16">
      <c r="A11" s="19">
        <v>9</v>
      </c>
      <c r="B11" s="16" t="s">
        <v>16</v>
      </c>
      <c r="C11" s="20">
        <v>70</v>
      </c>
      <c r="D11" s="18">
        <v>77</v>
      </c>
      <c r="E11" s="18">
        <v>73</v>
      </c>
      <c r="F11" s="18">
        <v>70</v>
      </c>
      <c r="G11" s="18">
        <v>81</v>
      </c>
      <c r="H11" s="18">
        <v>37</v>
      </c>
      <c r="I11" s="18"/>
      <c r="J11" s="18"/>
      <c r="K11" s="18"/>
      <c r="L11" s="18"/>
      <c r="M11" s="22"/>
      <c r="N11" s="8">
        <f t="shared" si="1"/>
        <v>408</v>
      </c>
      <c r="O11" s="16">
        <v>250</v>
      </c>
      <c r="P11" s="18">
        <f t="shared" si="0"/>
        <v>158</v>
      </c>
    </row>
    <row r="12" spans="1:16">
      <c r="A12" s="15">
        <v>10</v>
      </c>
      <c r="B12" s="16" t="s">
        <v>17</v>
      </c>
      <c r="C12" s="20"/>
      <c r="D12" s="18"/>
      <c r="E12" s="18"/>
      <c r="F12" s="18"/>
      <c r="G12" s="18"/>
      <c r="H12" s="18"/>
      <c r="I12" s="18"/>
      <c r="J12" s="18"/>
      <c r="K12" s="18"/>
      <c r="L12" s="18"/>
      <c r="M12" s="22"/>
      <c r="N12" s="8">
        <f t="shared" si="1"/>
        <v>0</v>
      </c>
      <c r="O12" s="16">
        <v>250</v>
      </c>
      <c r="P12" s="18">
        <f t="shared" si="0"/>
        <v>-250</v>
      </c>
    </row>
    <row r="13" spans="1:16">
      <c r="A13" s="19">
        <v>11</v>
      </c>
      <c r="B13" s="16" t="s">
        <v>18</v>
      </c>
      <c r="C13" s="23">
        <v>64</v>
      </c>
      <c r="D13" s="24">
        <v>60</v>
      </c>
      <c r="E13" s="24">
        <v>52</v>
      </c>
      <c r="F13" s="24">
        <v>66</v>
      </c>
      <c r="G13" s="24">
        <v>63</v>
      </c>
      <c r="H13" s="24">
        <v>57</v>
      </c>
      <c r="I13" s="24">
        <v>52</v>
      </c>
      <c r="J13" s="24"/>
      <c r="K13" s="24"/>
      <c r="L13" s="24"/>
      <c r="M13" s="25"/>
      <c r="N13" s="8">
        <f t="shared" si="1"/>
        <v>414</v>
      </c>
      <c r="O13" s="16">
        <v>250</v>
      </c>
      <c r="P13" s="18">
        <f t="shared" si="0"/>
        <v>164</v>
      </c>
    </row>
    <row r="14" spans="1:16">
      <c r="A14" s="15">
        <v>12</v>
      </c>
      <c r="B14" s="16" t="s">
        <v>19</v>
      </c>
      <c r="C14" s="20">
        <v>55</v>
      </c>
      <c r="D14" s="18">
        <v>52</v>
      </c>
      <c r="E14" s="18">
        <v>61</v>
      </c>
      <c r="F14" s="18">
        <v>62</v>
      </c>
      <c r="G14" s="18">
        <v>53</v>
      </c>
      <c r="H14" s="18">
        <v>43</v>
      </c>
      <c r="I14" s="18">
        <v>58</v>
      </c>
      <c r="J14" s="18">
        <v>50</v>
      </c>
      <c r="K14" s="18"/>
      <c r="L14" s="18"/>
      <c r="M14" s="22"/>
      <c r="N14" s="8">
        <f t="shared" si="1"/>
        <v>434</v>
      </c>
      <c r="O14" s="16">
        <v>250</v>
      </c>
      <c r="P14" s="18">
        <f t="shared" si="0"/>
        <v>184</v>
      </c>
    </row>
    <row r="15" spans="1:16">
      <c r="A15" s="19">
        <v>13</v>
      </c>
      <c r="B15" s="16" t="s">
        <v>20</v>
      </c>
      <c r="C15" s="20">
        <v>74</v>
      </c>
      <c r="D15" s="18">
        <v>66</v>
      </c>
      <c r="E15" s="18">
        <v>65</v>
      </c>
      <c r="F15" s="18">
        <v>78</v>
      </c>
      <c r="G15" s="18">
        <v>68</v>
      </c>
      <c r="H15" s="18">
        <v>66</v>
      </c>
      <c r="I15" s="18">
        <v>72</v>
      </c>
      <c r="J15" s="18">
        <v>71</v>
      </c>
      <c r="K15" s="18">
        <v>69</v>
      </c>
      <c r="L15" s="18">
        <v>50</v>
      </c>
      <c r="M15" s="22"/>
      <c r="N15" s="8">
        <f t="shared" si="1"/>
        <v>679</v>
      </c>
      <c r="O15" s="16">
        <v>250</v>
      </c>
      <c r="P15" s="18">
        <f t="shared" si="0"/>
        <v>429</v>
      </c>
    </row>
    <row r="16" spans="1:16">
      <c r="A16" s="15">
        <v>14</v>
      </c>
      <c r="B16" s="16" t="s">
        <v>21</v>
      </c>
      <c r="C16" s="20"/>
      <c r="D16" s="18"/>
      <c r="E16" s="18"/>
      <c r="F16" s="18"/>
      <c r="G16" s="18"/>
      <c r="H16" s="18"/>
      <c r="I16" s="18"/>
      <c r="J16" s="18"/>
      <c r="K16" s="18"/>
      <c r="L16" s="18"/>
      <c r="M16" s="22"/>
      <c r="N16" s="8">
        <f t="shared" si="1"/>
        <v>0</v>
      </c>
      <c r="O16" s="16">
        <v>250</v>
      </c>
      <c r="P16" s="21">
        <f t="shared" si="0"/>
        <v>-250</v>
      </c>
    </row>
    <row r="17" spans="1:16">
      <c r="A17" s="19">
        <v>15</v>
      </c>
      <c r="B17" s="16" t="s">
        <v>22</v>
      </c>
      <c r="C17" s="20"/>
      <c r="D17" s="18"/>
      <c r="E17" s="18"/>
      <c r="F17" s="18"/>
      <c r="G17" s="18"/>
      <c r="H17" s="18"/>
      <c r="I17" s="18"/>
      <c r="J17" s="18"/>
      <c r="K17" s="18"/>
      <c r="L17" s="18"/>
      <c r="M17" s="22"/>
      <c r="N17" s="8">
        <f t="shared" si="1"/>
        <v>0</v>
      </c>
      <c r="O17" s="16">
        <v>250</v>
      </c>
      <c r="P17" s="18">
        <f t="shared" si="0"/>
        <v>-250</v>
      </c>
    </row>
    <row r="18" spans="1:16">
      <c r="A18" s="15">
        <v>16</v>
      </c>
      <c r="B18" s="16" t="s">
        <v>23</v>
      </c>
      <c r="C18" s="20"/>
      <c r="D18" s="18"/>
      <c r="E18" s="18"/>
      <c r="F18" s="18"/>
      <c r="G18" s="18"/>
      <c r="H18" s="18"/>
      <c r="I18" s="18"/>
      <c r="J18" s="18"/>
      <c r="K18" s="18"/>
      <c r="L18" s="18"/>
      <c r="M18" s="22"/>
      <c r="N18" s="8">
        <f t="shared" si="1"/>
        <v>0</v>
      </c>
      <c r="O18" s="16">
        <v>250</v>
      </c>
      <c r="P18" s="18">
        <f t="shared" si="0"/>
        <v>-250</v>
      </c>
    </row>
    <row r="19" spans="1:16">
      <c r="A19" s="26"/>
      <c r="B19" s="27"/>
      <c r="C19" s="144" t="s">
        <v>24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29">
        <f>SUM(N3:N18)</f>
        <v>5580</v>
      </c>
      <c r="O19" s="30"/>
      <c r="P19" s="31"/>
    </row>
    <row r="20" spans="1:16">
      <c r="A20" s="8">
        <v>18</v>
      </c>
      <c r="B20" s="32" t="s">
        <v>25</v>
      </c>
      <c r="C20" s="33">
        <v>65</v>
      </c>
      <c r="D20" s="34">
        <v>73</v>
      </c>
      <c r="E20" s="34">
        <v>71</v>
      </c>
      <c r="F20" s="34">
        <v>65</v>
      </c>
      <c r="G20" s="34">
        <v>73</v>
      </c>
      <c r="H20" s="34">
        <v>69</v>
      </c>
      <c r="I20" s="34">
        <v>63</v>
      </c>
      <c r="J20" s="34"/>
      <c r="K20" s="35"/>
      <c r="L20" s="35"/>
      <c r="M20" s="36"/>
      <c r="N20" s="37">
        <f>SUM(C20:M20)</f>
        <v>479</v>
      </c>
      <c r="O20" s="9">
        <v>250</v>
      </c>
      <c r="P20" s="13">
        <f t="shared" si="0"/>
        <v>229</v>
      </c>
    </row>
    <row r="21" spans="1:16">
      <c r="A21" s="19">
        <v>20</v>
      </c>
      <c r="B21" s="38" t="s">
        <v>26</v>
      </c>
      <c r="C21" s="20">
        <v>77</v>
      </c>
      <c r="D21" s="18">
        <v>76</v>
      </c>
      <c r="E21" s="18">
        <v>72</v>
      </c>
      <c r="F21" s="18">
        <v>73</v>
      </c>
      <c r="G21" s="18">
        <v>66</v>
      </c>
      <c r="H21" s="18">
        <v>56</v>
      </c>
      <c r="I21" s="18">
        <v>26</v>
      </c>
      <c r="J21" s="18"/>
      <c r="K21" s="22"/>
      <c r="L21" s="22"/>
      <c r="M21" s="39"/>
      <c r="N21" s="37">
        <f t="shared" ref="N21:N32" si="2">SUM(C21:M21)</f>
        <v>446</v>
      </c>
      <c r="O21" s="16">
        <v>250</v>
      </c>
      <c r="P21" s="18">
        <f t="shared" si="0"/>
        <v>196</v>
      </c>
    </row>
    <row r="22" spans="1:16">
      <c r="A22" s="15">
        <v>21</v>
      </c>
      <c r="B22" s="38" t="s">
        <v>27</v>
      </c>
      <c r="C22" s="16">
        <v>49</v>
      </c>
      <c r="D22" s="18">
        <v>60</v>
      </c>
      <c r="E22" s="18">
        <v>65</v>
      </c>
      <c r="F22" s="18">
        <v>61</v>
      </c>
      <c r="G22" s="18">
        <v>40</v>
      </c>
      <c r="H22" s="18">
        <v>65</v>
      </c>
      <c r="I22" s="18">
        <v>75</v>
      </c>
      <c r="J22" s="18">
        <v>68</v>
      </c>
      <c r="K22" s="22"/>
      <c r="L22" s="22"/>
      <c r="M22" s="39"/>
      <c r="N22" s="37">
        <f t="shared" si="2"/>
        <v>483</v>
      </c>
      <c r="O22" s="16">
        <v>250</v>
      </c>
      <c r="P22" s="18">
        <f t="shared" si="0"/>
        <v>233</v>
      </c>
    </row>
    <row r="23" spans="1:16">
      <c r="A23" s="19">
        <v>22</v>
      </c>
      <c r="B23" s="38" t="s">
        <v>28</v>
      </c>
      <c r="C23" s="16"/>
      <c r="D23" s="18"/>
      <c r="E23" s="18"/>
      <c r="F23" s="18"/>
      <c r="G23" s="18"/>
      <c r="H23" s="18"/>
      <c r="I23" s="18"/>
      <c r="J23" s="18"/>
      <c r="K23" s="22"/>
      <c r="L23" s="22"/>
      <c r="M23" s="39"/>
      <c r="N23" s="37">
        <f t="shared" si="2"/>
        <v>0</v>
      </c>
      <c r="O23" s="16">
        <v>250</v>
      </c>
      <c r="P23" s="18">
        <f t="shared" si="0"/>
        <v>-250</v>
      </c>
    </row>
    <row r="24" spans="1:16">
      <c r="A24" s="15">
        <v>23</v>
      </c>
      <c r="B24" s="38" t="s">
        <v>29</v>
      </c>
      <c r="C24" s="16"/>
      <c r="D24" s="18"/>
      <c r="E24" s="18"/>
      <c r="F24" s="18"/>
      <c r="G24" s="18"/>
      <c r="H24" s="18"/>
      <c r="I24" s="18"/>
      <c r="J24" s="18"/>
      <c r="K24" s="22"/>
      <c r="L24" s="22"/>
      <c r="M24" s="39"/>
      <c r="N24" s="37">
        <f t="shared" si="2"/>
        <v>0</v>
      </c>
      <c r="O24" s="16">
        <v>250</v>
      </c>
      <c r="P24" s="18">
        <f t="shared" si="0"/>
        <v>-250</v>
      </c>
    </row>
    <row r="25" spans="1:16">
      <c r="A25" s="19">
        <v>24</v>
      </c>
      <c r="B25" s="38" t="s">
        <v>30</v>
      </c>
      <c r="C25" s="16">
        <v>32</v>
      </c>
      <c r="D25" s="18">
        <v>60</v>
      </c>
      <c r="E25" s="18">
        <v>72</v>
      </c>
      <c r="F25" s="18">
        <v>65</v>
      </c>
      <c r="G25" s="18">
        <v>65</v>
      </c>
      <c r="H25" s="18">
        <v>65</v>
      </c>
      <c r="I25" s="18">
        <v>71</v>
      </c>
      <c r="J25" s="18"/>
      <c r="K25" s="22"/>
      <c r="L25" s="22"/>
      <c r="M25" s="39"/>
      <c r="N25" s="37">
        <f t="shared" si="2"/>
        <v>430</v>
      </c>
      <c r="O25" s="16">
        <v>250</v>
      </c>
      <c r="P25" s="21">
        <f t="shared" si="0"/>
        <v>180</v>
      </c>
    </row>
    <row r="26" spans="1:16">
      <c r="A26" s="15">
        <v>25</v>
      </c>
      <c r="B26" s="38" t="s">
        <v>31</v>
      </c>
      <c r="C26" s="16">
        <v>66</v>
      </c>
      <c r="D26" s="18">
        <v>69</v>
      </c>
      <c r="E26" s="18">
        <v>64</v>
      </c>
      <c r="F26" s="18">
        <v>65</v>
      </c>
      <c r="G26" s="18">
        <v>65</v>
      </c>
      <c r="H26" s="18">
        <v>79</v>
      </c>
      <c r="I26" s="18">
        <v>73</v>
      </c>
      <c r="J26" s="18">
        <v>67</v>
      </c>
      <c r="K26" s="22">
        <v>54</v>
      </c>
      <c r="L26" s="22"/>
      <c r="M26" s="39"/>
      <c r="N26" s="37">
        <f t="shared" si="2"/>
        <v>602</v>
      </c>
      <c r="O26" s="16">
        <v>250</v>
      </c>
      <c r="P26" s="18">
        <f t="shared" si="0"/>
        <v>352</v>
      </c>
    </row>
    <row r="27" spans="1:16">
      <c r="A27" s="19">
        <v>26</v>
      </c>
      <c r="B27" s="38" t="s">
        <v>32</v>
      </c>
      <c r="C27" s="16">
        <v>67</v>
      </c>
      <c r="D27" s="18">
        <v>60</v>
      </c>
      <c r="E27" s="18">
        <v>63</v>
      </c>
      <c r="F27" s="18">
        <v>65</v>
      </c>
      <c r="G27" s="18">
        <v>56</v>
      </c>
      <c r="H27" s="18">
        <v>65</v>
      </c>
      <c r="I27" s="18">
        <v>38</v>
      </c>
      <c r="J27" s="18"/>
      <c r="K27" s="22"/>
      <c r="L27" s="22"/>
      <c r="M27" s="39"/>
      <c r="N27" s="37">
        <f t="shared" si="2"/>
        <v>414</v>
      </c>
      <c r="O27" s="16">
        <v>250</v>
      </c>
      <c r="P27" s="21">
        <f t="shared" si="0"/>
        <v>164</v>
      </c>
    </row>
    <row r="28" spans="1:16">
      <c r="A28" s="15">
        <v>27</v>
      </c>
      <c r="B28" s="38" t="s">
        <v>33</v>
      </c>
      <c r="C28" s="16"/>
      <c r="D28" s="18"/>
      <c r="E28" s="18"/>
      <c r="F28" s="18"/>
      <c r="G28" s="18"/>
      <c r="H28" s="18"/>
      <c r="I28" s="18"/>
      <c r="J28" s="18"/>
      <c r="K28" s="22"/>
      <c r="L28" s="22"/>
      <c r="M28" s="39"/>
      <c r="N28" s="37">
        <f t="shared" si="2"/>
        <v>0</v>
      </c>
      <c r="O28" s="16">
        <v>250</v>
      </c>
      <c r="P28" s="18">
        <f t="shared" si="0"/>
        <v>-250</v>
      </c>
    </row>
    <row r="29" spans="1:16">
      <c r="A29" s="19">
        <v>28</v>
      </c>
      <c r="B29" s="38" t="s">
        <v>34</v>
      </c>
      <c r="C29" s="16">
        <v>52</v>
      </c>
      <c r="D29" s="18">
        <v>53</v>
      </c>
      <c r="E29" s="18">
        <v>51</v>
      </c>
      <c r="F29" s="18">
        <v>54</v>
      </c>
      <c r="G29" s="18">
        <v>56</v>
      </c>
      <c r="H29" s="18">
        <v>28</v>
      </c>
      <c r="I29" s="18"/>
      <c r="J29" s="18"/>
      <c r="K29" s="22"/>
      <c r="L29" s="22"/>
      <c r="M29" s="39"/>
      <c r="N29" s="37">
        <f t="shared" si="2"/>
        <v>294</v>
      </c>
      <c r="O29" s="16">
        <v>250</v>
      </c>
      <c r="P29" s="21">
        <f t="shared" si="0"/>
        <v>44</v>
      </c>
    </row>
    <row r="30" spans="1:16">
      <c r="A30" s="15">
        <v>29</v>
      </c>
      <c r="B30" s="40" t="s">
        <v>35</v>
      </c>
      <c r="C30" s="41">
        <v>55</v>
      </c>
      <c r="D30" s="24">
        <v>33</v>
      </c>
      <c r="E30" s="24">
        <v>61</v>
      </c>
      <c r="F30" s="24">
        <v>56</v>
      </c>
      <c r="G30" s="24">
        <v>64</v>
      </c>
      <c r="H30" s="24"/>
      <c r="I30" s="24"/>
      <c r="J30" s="24"/>
      <c r="K30" s="25"/>
      <c r="L30" s="25"/>
      <c r="M30" s="42"/>
      <c r="N30" s="37">
        <f t="shared" si="2"/>
        <v>269</v>
      </c>
      <c r="O30" s="41">
        <v>250</v>
      </c>
      <c r="P30" s="24">
        <f t="shared" si="0"/>
        <v>19</v>
      </c>
    </row>
    <row r="31" spans="1:16">
      <c r="A31" s="19">
        <v>30</v>
      </c>
      <c r="B31" s="38" t="s">
        <v>36</v>
      </c>
      <c r="C31" s="16">
        <v>39</v>
      </c>
      <c r="D31" s="18">
        <v>41</v>
      </c>
      <c r="E31" s="18">
        <v>40</v>
      </c>
      <c r="F31" s="18">
        <v>38</v>
      </c>
      <c r="G31" s="18">
        <v>39</v>
      </c>
      <c r="H31" s="18">
        <v>30</v>
      </c>
      <c r="I31" s="18">
        <v>37</v>
      </c>
      <c r="J31" s="18">
        <v>39</v>
      </c>
      <c r="K31" s="22">
        <v>31</v>
      </c>
      <c r="L31" s="22">
        <v>36</v>
      </c>
      <c r="M31" s="39">
        <v>37</v>
      </c>
      <c r="N31" s="37">
        <f t="shared" si="2"/>
        <v>407</v>
      </c>
      <c r="O31" s="16">
        <v>250</v>
      </c>
      <c r="P31" s="18">
        <f t="shared" si="0"/>
        <v>157</v>
      </c>
    </row>
    <row r="32" spans="1:16">
      <c r="A32" s="15">
        <v>31</v>
      </c>
      <c r="B32" s="40" t="s">
        <v>37</v>
      </c>
      <c r="C32" s="41">
        <v>67</v>
      </c>
      <c r="D32" s="24">
        <v>72</v>
      </c>
      <c r="E32" s="24">
        <v>64</v>
      </c>
      <c r="F32" s="24">
        <v>75</v>
      </c>
      <c r="G32" s="24">
        <v>67</v>
      </c>
      <c r="H32" s="24">
        <v>45</v>
      </c>
      <c r="I32" s="24"/>
      <c r="J32" s="24"/>
      <c r="K32" s="25"/>
      <c r="L32" s="25"/>
      <c r="M32" s="25"/>
      <c r="N32" s="37">
        <f t="shared" si="2"/>
        <v>390</v>
      </c>
      <c r="O32" s="41">
        <v>250</v>
      </c>
      <c r="P32" s="24">
        <f t="shared" si="0"/>
        <v>140</v>
      </c>
    </row>
    <row r="33" spans="1:16">
      <c r="A33" s="26"/>
      <c r="B33" s="43"/>
      <c r="C33" s="145" t="s">
        <v>24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44">
        <f>SUM(N20:N32)</f>
        <v>4214</v>
      </c>
      <c r="O33" s="30"/>
      <c r="P33" s="31"/>
    </row>
    <row r="34" spans="1:16">
      <c r="A34" s="45">
        <v>32</v>
      </c>
      <c r="B34" s="45" t="s">
        <v>38</v>
      </c>
      <c r="C34" s="46">
        <v>59</v>
      </c>
      <c r="D34" s="47">
        <v>60</v>
      </c>
      <c r="E34" s="47">
        <v>49</v>
      </c>
      <c r="F34" s="47">
        <v>50</v>
      </c>
      <c r="G34" s="47">
        <v>63</v>
      </c>
      <c r="H34" s="47">
        <v>66</v>
      </c>
      <c r="I34" s="47"/>
      <c r="J34" s="47"/>
      <c r="K34" s="47"/>
      <c r="L34" s="47"/>
      <c r="M34" s="48"/>
      <c r="N34" s="8">
        <f>SUM(C34:M34)</f>
        <v>347</v>
      </c>
      <c r="O34" s="16">
        <v>250</v>
      </c>
      <c r="P34" s="21">
        <f t="shared" ref="P34:P38" si="3">N34-O34</f>
        <v>97</v>
      </c>
    </row>
    <row r="35" spans="1:16">
      <c r="A35" s="17">
        <v>33</v>
      </c>
      <c r="B35" s="17" t="s">
        <v>39</v>
      </c>
      <c r="C35" s="49"/>
      <c r="D35" s="50"/>
      <c r="E35" s="50"/>
      <c r="F35" s="50"/>
      <c r="G35" s="50"/>
      <c r="H35" s="50"/>
      <c r="I35" s="50"/>
      <c r="J35" s="50"/>
      <c r="K35" s="50"/>
      <c r="L35" s="50"/>
      <c r="M35" s="51"/>
      <c r="N35" s="8" t="s">
        <v>40</v>
      </c>
      <c r="O35" s="16">
        <v>250</v>
      </c>
      <c r="P35" s="18" t="e">
        <f t="shared" si="3"/>
        <v>#VALUE!</v>
      </c>
    </row>
    <row r="36" spans="1:16">
      <c r="A36" s="17">
        <v>34</v>
      </c>
      <c r="B36" s="17" t="s">
        <v>41</v>
      </c>
      <c r="C36" s="49">
        <v>70</v>
      </c>
      <c r="D36" s="50">
        <v>61</v>
      </c>
      <c r="E36" s="50">
        <v>21</v>
      </c>
      <c r="F36" s="50">
        <v>60</v>
      </c>
      <c r="G36" s="50">
        <v>58</v>
      </c>
      <c r="H36" s="50"/>
      <c r="I36" s="50"/>
      <c r="J36" s="50"/>
      <c r="K36" s="50"/>
      <c r="L36" s="50"/>
      <c r="M36" s="51"/>
      <c r="N36" s="8">
        <f t="shared" ref="N35:N38" si="4">SUM(C36:M36)</f>
        <v>270</v>
      </c>
      <c r="O36" s="16">
        <v>250</v>
      </c>
      <c r="P36" s="21">
        <f t="shared" si="3"/>
        <v>20</v>
      </c>
    </row>
    <row r="37" spans="1:16">
      <c r="A37" s="52">
        <v>35</v>
      </c>
      <c r="B37" s="52" t="s">
        <v>42</v>
      </c>
      <c r="C37" s="49">
        <v>26</v>
      </c>
      <c r="D37" s="50">
        <v>28</v>
      </c>
      <c r="E37" s="50">
        <v>29</v>
      </c>
      <c r="F37" s="50">
        <v>28</v>
      </c>
      <c r="G37" s="50">
        <v>32</v>
      </c>
      <c r="H37" s="50">
        <v>22</v>
      </c>
      <c r="I37" s="50">
        <v>23</v>
      </c>
      <c r="J37" s="50">
        <v>25</v>
      </c>
      <c r="K37" s="50">
        <v>31</v>
      </c>
      <c r="L37" s="50">
        <v>29</v>
      </c>
      <c r="M37" s="51"/>
      <c r="N37" s="8">
        <f t="shared" si="4"/>
        <v>273</v>
      </c>
      <c r="O37" s="16">
        <v>250</v>
      </c>
      <c r="P37" s="18">
        <f t="shared" si="3"/>
        <v>23</v>
      </c>
    </row>
    <row r="38" spans="1:16">
      <c r="A38" s="52">
        <v>36</v>
      </c>
      <c r="B38" s="52" t="s">
        <v>43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5"/>
      <c r="N38" s="8">
        <f t="shared" si="4"/>
        <v>0</v>
      </c>
      <c r="O38" s="41">
        <v>250</v>
      </c>
      <c r="P38" s="56">
        <f t="shared" si="3"/>
        <v>-250</v>
      </c>
    </row>
    <row r="39" spans="1:16">
      <c r="A39" s="57"/>
      <c r="B39" s="58"/>
      <c r="C39" s="143"/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29">
        <f>SUM(N34:N38)</f>
        <v>890</v>
      </c>
      <c r="O39" s="59"/>
      <c r="P39" s="60"/>
    </row>
    <row r="40" spans="1:16">
      <c r="A40" s="8">
        <v>37</v>
      </c>
      <c r="B40" s="61" t="s">
        <v>44</v>
      </c>
      <c r="C40" s="62"/>
      <c r="D40" s="63"/>
      <c r="E40" s="63"/>
      <c r="F40" s="63"/>
      <c r="G40" s="63"/>
      <c r="H40" s="63"/>
      <c r="I40" s="63"/>
      <c r="J40" s="63"/>
      <c r="K40" s="63"/>
      <c r="L40" s="63"/>
      <c r="M40" s="64"/>
      <c r="N40" s="8">
        <f>SUM(C40:M40)</f>
        <v>0</v>
      </c>
      <c r="O40" s="16">
        <v>250</v>
      </c>
      <c r="P40" s="21">
        <v>-250</v>
      </c>
    </row>
    <row r="41" spans="1:16">
      <c r="A41" s="15">
        <v>38</v>
      </c>
      <c r="B41" s="65" t="s">
        <v>45</v>
      </c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8"/>
      <c r="N41" s="8">
        <f>SUM(C41:M41)</f>
        <v>0</v>
      </c>
      <c r="O41" s="16">
        <v>250</v>
      </c>
      <c r="P41" s="18">
        <f t="shared" ref="P41" si="5">N41-O41</f>
        <v>-250</v>
      </c>
    </row>
    <row r="42" spans="1:16">
      <c r="A42" s="71"/>
      <c r="B42" s="30"/>
      <c r="C42" s="143" t="s">
        <v>24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8"/>
      <c r="N42" s="72">
        <f>SUM(N40:N41)</f>
        <v>0</v>
      </c>
      <c r="O42" s="73"/>
      <c r="P42" s="74"/>
    </row>
    <row r="43" spans="1:16">
      <c r="A43" s="75"/>
      <c r="B43" s="76" t="s">
        <v>46</v>
      </c>
      <c r="C43" s="77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80">
        <f>N42+N39+N33+N19</f>
        <v>10684</v>
      </c>
      <c r="O43" s="81"/>
      <c r="P43" s="79"/>
    </row>
  </sheetData>
  <mergeCells count="5">
    <mergeCell ref="C2:M2"/>
    <mergeCell ref="C19:M19"/>
    <mergeCell ref="C33:M33"/>
    <mergeCell ref="C39:M39"/>
    <mergeCell ref="C42:M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B46D-190F-440D-A683-A9D025F1FF56}">
  <dimension ref="A1:P43"/>
  <sheetViews>
    <sheetView workbookViewId="0">
      <selection activeCell="P1" sqref="P1"/>
    </sheetView>
  </sheetViews>
  <sheetFormatPr defaultRowHeight="15"/>
  <cols>
    <col min="2" max="2" width="21" customWidth="1"/>
    <col min="3" max="3" width="3.140625" customWidth="1"/>
    <col min="4" max="4" width="3" customWidth="1"/>
    <col min="5" max="5" width="3.140625" customWidth="1"/>
    <col min="6" max="6" width="2.85546875" customWidth="1"/>
    <col min="7" max="7" width="3.28515625" customWidth="1"/>
    <col min="8" max="9" width="3" customWidth="1"/>
    <col min="10" max="10" width="3.140625" customWidth="1"/>
    <col min="11" max="11" width="2.7109375" customWidth="1"/>
    <col min="12" max="12" width="3" customWidth="1"/>
    <col min="13" max="13" width="6.28515625" customWidth="1"/>
  </cols>
  <sheetData>
    <row r="1" spans="1:16" ht="15.75">
      <c r="A1" s="1"/>
      <c r="B1" s="2" t="s">
        <v>0</v>
      </c>
      <c r="L1">
        <v>62</v>
      </c>
      <c r="N1" s="3" t="s">
        <v>47</v>
      </c>
    </row>
    <row r="2" spans="1:16">
      <c r="A2" s="3" t="s">
        <v>2</v>
      </c>
      <c r="B2" s="4" t="s">
        <v>3</v>
      </c>
      <c r="C2" s="143" t="s">
        <v>4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3" t="s">
        <v>5</v>
      </c>
      <c r="O2" s="6" t="s">
        <v>6</v>
      </c>
      <c r="P2" s="7" t="s">
        <v>7</v>
      </c>
    </row>
    <row r="3" spans="1:16">
      <c r="A3" s="8">
        <v>1</v>
      </c>
      <c r="B3" s="9" t="s">
        <v>8</v>
      </c>
      <c r="C3" s="10">
        <v>71</v>
      </c>
      <c r="D3" s="11">
        <v>65</v>
      </c>
      <c r="E3" s="11">
        <v>67</v>
      </c>
      <c r="F3" s="11">
        <v>63</v>
      </c>
      <c r="G3" s="11">
        <v>70</v>
      </c>
      <c r="H3" s="11">
        <v>63</v>
      </c>
      <c r="I3" s="12">
        <v>73</v>
      </c>
      <c r="J3" s="13">
        <v>68</v>
      </c>
      <c r="K3" s="13">
        <v>15</v>
      </c>
      <c r="L3" s="13"/>
      <c r="M3" s="14"/>
      <c r="N3" s="8">
        <f>SUM(C3:M3)</f>
        <v>555</v>
      </c>
      <c r="O3" s="9">
        <v>250</v>
      </c>
      <c r="P3" s="18">
        <f t="shared" ref="P3:P33" si="0">N3-O3</f>
        <v>305</v>
      </c>
    </row>
    <row r="4" spans="1:16">
      <c r="A4" s="15">
        <v>2</v>
      </c>
      <c r="B4" s="16" t="s">
        <v>9</v>
      </c>
      <c r="C4" s="17">
        <v>83</v>
      </c>
      <c r="D4" s="18">
        <v>79</v>
      </c>
      <c r="E4" s="18">
        <v>80</v>
      </c>
      <c r="F4" s="18">
        <v>72</v>
      </c>
      <c r="G4" s="18">
        <v>72</v>
      </c>
      <c r="H4" s="18">
        <v>83</v>
      </c>
      <c r="I4" s="18">
        <v>22</v>
      </c>
      <c r="J4" s="13"/>
      <c r="K4" s="13"/>
      <c r="L4" s="13"/>
      <c r="M4" s="14"/>
      <c r="N4" s="8">
        <f t="shared" ref="N4:N18" si="1">SUM(C4:M4)</f>
        <v>491</v>
      </c>
      <c r="O4" s="16">
        <v>250</v>
      </c>
      <c r="P4" s="18">
        <f t="shared" si="0"/>
        <v>241</v>
      </c>
    </row>
    <row r="5" spans="1:16">
      <c r="A5" s="19">
        <v>3</v>
      </c>
      <c r="B5" s="16" t="s">
        <v>10</v>
      </c>
      <c r="C5" s="20">
        <v>47</v>
      </c>
      <c r="D5" s="13">
        <v>47</v>
      </c>
      <c r="E5" s="13">
        <v>72</v>
      </c>
      <c r="F5" s="13">
        <v>80</v>
      </c>
      <c r="G5" s="13">
        <v>72</v>
      </c>
      <c r="H5" s="13">
        <v>92</v>
      </c>
      <c r="I5" s="13">
        <v>19</v>
      </c>
      <c r="J5" s="13"/>
      <c r="K5" s="13"/>
      <c r="L5" s="13"/>
      <c r="M5" s="14"/>
      <c r="N5" s="8">
        <f t="shared" si="1"/>
        <v>429</v>
      </c>
      <c r="O5" s="16">
        <v>250</v>
      </c>
      <c r="P5" s="21">
        <f t="shared" si="0"/>
        <v>179</v>
      </c>
    </row>
    <row r="6" spans="1:16">
      <c r="A6" s="15">
        <v>4</v>
      </c>
      <c r="B6" s="16" t="s">
        <v>11</v>
      </c>
      <c r="C6" s="20">
        <v>59</v>
      </c>
      <c r="D6" s="18">
        <v>62</v>
      </c>
      <c r="E6" s="18">
        <v>72</v>
      </c>
      <c r="F6" s="18">
        <v>63</v>
      </c>
      <c r="G6" s="18">
        <v>60</v>
      </c>
      <c r="H6" s="18">
        <v>54</v>
      </c>
      <c r="I6" s="18">
        <v>24</v>
      </c>
      <c r="J6" s="18"/>
      <c r="K6" s="18"/>
      <c r="L6" s="18"/>
      <c r="M6" s="22"/>
      <c r="N6" s="8">
        <f t="shared" si="1"/>
        <v>394</v>
      </c>
      <c r="O6" s="16">
        <v>250</v>
      </c>
      <c r="P6" s="18">
        <f>N6-O6</f>
        <v>144</v>
      </c>
    </row>
    <row r="7" spans="1:16">
      <c r="A7" s="19">
        <v>5</v>
      </c>
      <c r="B7" s="16" t="s">
        <v>12</v>
      </c>
      <c r="C7" s="20">
        <v>71</v>
      </c>
      <c r="D7" s="18">
        <v>81</v>
      </c>
      <c r="E7" s="18">
        <v>68</v>
      </c>
      <c r="F7" s="18">
        <v>67</v>
      </c>
      <c r="G7" s="18">
        <v>64</v>
      </c>
      <c r="H7" s="18">
        <v>59</v>
      </c>
      <c r="I7" s="18">
        <v>60</v>
      </c>
      <c r="J7" s="18">
        <v>14</v>
      </c>
      <c r="K7" s="18"/>
      <c r="L7" s="18"/>
      <c r="M7" s="22"/>
      <c r="N7" s="8">
        <f t="shared" si="1"/>
        <v>484</v>
      </c>
      <c r="O7" s="16">
        <v>250</v>
      </c>
      <c r="P7" s="18">
        <f t="shared" si="0"/>
        <v>234</v>
      </c>
    </row>
    <row r="8" spans="1:16">
      <c r="A8" s="15">
        <v>6</v>
      </c>
      <c r="B8" s="16" t="s">
        <v>13</v>
      </c>
      <c r="C8" s="20">
        <v>59</v>
      </c>
      <c r="D8" s="18">
        <v>65</v>
      </c>
      <c r="E8" s="18">
        <v>70</v>
      </c>
      <c r="F8" s="18">
        <v>80</v>
      </c>
      <c r="G8" s="18">
        <v>67</v>
      </c>
      <c r="H8" s="18">
        <v>65</v>
      </c>
      <c r="I8" s="18"/>
      <c r="J8" s="18"/>
      <c r="K8" s="18"/>
      <c r="L8" s="18"/>
      <c r="M8" s="22"/>
      <c r="N8" s="8">
        <f t="shared" si="1"/>
        <v>406</v>
      </c>
      <c r="O8" s="16">
        <v>250</v>
      </c>
      <c r="P8" s="18">
        <f t="shared" si="0"/>
        <v>156</v>
      </c>
    </row>
    <row r="9" spans="1:16">
      <c r="A9" s="19">
        <v>7</v>
      </c>
      <c r="B9" s="16" t="s">
        <v>14</v>
      </c>
      <c r="C9" s="20"/>
      <c r="D9" s="18"/>
      <c r="E9" s="18"/>
      <c r="F9" s="18"/>
      <c r="G9" s="18"/>
      <c r="H9" s="18"/>
      <c r="I9" s="18"/>
      <c r="J9" s="18"/>
      <c r="K9" s="18"/>
      <c r="L9" s="18"/>
      <c r="M9" s="22"/>
      <c r="N9" s="8">
        <f t="shared" si="1"/>
        <v>0</v>
      </c>
      <c r="O9" s="16">
        <v>250</v>
      </c>
      <c r="P9" s="18">
        <f t="shared" si="0"/>
        <v>-250</v>
      </c>
    </row>
    <row r="10" spans="1:16">
      <c r="A10" s="15">
        <v>8</v>
      </c>
      <c r="B10" s="16" t="s">
        <v>15</v>
      </c>
      <c r="C10" s="20">
        <v>67</v>
      </c>
      <c r="D10" s="18">
        <v>63</v>
      </c>
      <c r="E10" s="18">
        <v>63</v>
      </c>
      <c r="F10" s="18">
        <v>70</v>
      </c>
      <c r="G10" s="18">
        <v>64</v>
      </c>
      <c r="H10" s="18">
        <v>68</v>
      </c>
      <c r="I10" s="18">
        <v>50</v>
      </c>
      <c r="J10" s="18">
        <v>29</v>
      </c>
      <c r="K10" s="18"/>
      <c r="L10" s="18"/>
      <c r="M10" s="22"/>
      <c r="N10" s="8">
        <f t="shared" si="1"/>
        <v>474</v>
      </c>
      <c r="O10" s="16">
        <v>250</v>
      </c>
      <c r="P10" s="18">
        <f t="shared" si="0"/>
        <v>224</v>
      </c>
    </row>
    <row r="11" spans="1:16">
      <c r="A11" s="19">
        <v>9</v>
      </c>
      <c r="B11" s="16" t="s">
        <v>16</v>
      </c>
      <c r="C11" s="20">
        <v>70</v>
      </c>
      <c r="D11" s="18">
        <v>70</v>
      </c>
      <c r="E11" s="18">
        <v>78</v>
      </c>
      <c r="F11" s="18">
        <v>72</v>
      </c>
      <c r="G11" s="18">
        <v>71</v>
      </c>
      <c r="H11" s="18">
        <v>19</v>
      </c>
      <c r="I11" s="18"/>
      <c r="J11" s="18"/>
      <c r="K11" s="18"/>
      <c r="L11" s="18"/>
      <c r="M11" s="22"/>
      <c r="N11" s="8">
        <f t="shared" si="1"/>
        <v>380</v>
      </c>
      <c r="O11" s="16">
        <v>250</v>
      </c>
      <c r="P11" s="18">
        <f t="shared" si="0"/>
        <v>130</v>
      </c>
    </row>
    <row r="12" spans="1:16">
      <c r="A12" s="15">
        <v>10</v>
      </c>
      <c r="B12" s="16" t="s">
        <v>17</v>
      </c>
      <c r="C12" s="20">
        <v>68</v>
      </c>
      <c r="D12" s="18">
        <v>56</v>
      </c>
      <c r="E12" s="18">
        <v>69</v>
      </c>
      <c r="F12" s="18">
        <v>43</v>
      </c>
      <c r="G12" s="18">
        <v>74</v>
      </c>
      <c r="H12" s="18">
        <v>40</v>
      </c>
      <c r="I12" s="18"/>
      <c r="J12" s="18"/>
      <c r="K12" s="18"/>
      <c r="L12" s="18"/>
      <c r="M12" s="22"/>
      <c r="N12" s="8">
        <f t="shared" si="1"/>
        <v>350</v>
      </c>
      <c r="O12" s="16">
        <v>250</v>
      </c>
      <c r="P12" s="18">
        <f t="shared" si="0"/>
        <v>100</v>
      </c>
    </row>
    <row r="13" spans="1:16">
      <c r="A13" s="19">
        <v>11</v>
      </c>
      <c r="B13" s="16" t="s">
        <v>18</v>
      </c>
      <c r="C13" s="23">
        <v>60</v>
      </c>
      <c r="D13" s="24">
        <v>59</v>
      </c>
      <c r="E13" s="24">
        <v>65</v>
      </c>
      <c r="F13" s="24">
        <v>65</v>
      </c>
      <c r="G13" s="24">
        <v>67</v>
      </c>
      <c r="H13" s="24">
        <v>38</v>
      </c>
      <c r="I13" s="24"/>
      <c r="J13" s="24"/>
      <c r="K13" s="24"/>
      <c r="L13" s="24"/>
      <c r="M13" s="25"/>
      <c r="N13" s="8">
        <f t="shared" si="1"/>
        <v>354</v>
      </c>
      <c r="O13" s="16">
        <v>250</v>
      </c>
      <c r="P13" s="18">
        <f t="shared" si="0"/>
        <v>104</v>
      </c>
    </row>
    <row r="14" spans="1:16">
      <c r="A14" s="15">
        <v>12</v>
      </c>
      <c r="B14" s="16" t="s">
        <v>19</v>
      </c>
      <c r="C14" s="20">
        <v>60</v>
      </c>
      <c r="D14" s="18">
        <v>58</v>
      </c>
      <c r="E14" s="18">
        <v>69</v>
      </c>
      <c r="F14" s="18">
        <v>46</v>
      </c>
      <c r="G14" s="18">
        <v>66</v>
      </c>
      <c r="H14" s="18">
        <v>19</v>
      </c>
      <c r="I14" s="18"/>
      <c r="J14" s="18"/>
      <c r="K14" s="18"/>
      <c r="L14" s="18"/>
      <c r="M14" s="22"/>
      <c r="N14" s="8">
        <f t="shared" si="1"/>
        <v>318</v>
      </c>
      <c r="O14" s="16">
        <v>250</v>
      </c>
      <c r="P14" s="18">
        <f t="shared" si="0"/>
        <v>68</v>
      </c>
    </row>
    <row r="15" spans="1:16">
      <c r="A15" s="19">
        <v>13</v>
      </c>
      <c r="B15" s="16" t="s">
        <v>20</v>
      </c>
      <c r="C15" s="20">
        <v>63</v>
      </c>
      <c r="D15" s="18">
        <v>70</v>
      </c>
      <c r="E15" s="18">
        <v>97</v>
      </c>
      <c r="F15" s="18">
        <v>97</v>
      </c>
      <c r="G15" s="18">
        <v>72</v>
      </c>
      <c r="H15" s="18">
        <v>99</v>
      </c>
      <c r="I15" s="18">
        <v>67</v>
      </c>
      <c r="J15" s="18"/>
      <c r="K15" s="18"/>
      <c r="L15" s="18"/>
      <c r="M15" s="22"/>
      <c r="N15" s="8">
        <f t="shared" si="1"/>
        <v>565</v>
      </c>
      <c r="O15" s="16">
        <v>250</v>
      </c>
      <c r="P15" s="18">
        <f t="shared" si="0"/>
        <v>315</v>
      </c>
    </row>
    <row r="16" spans="1:16">
      <c r="A16" s="15">
        <v>14</v>
      </c>
      <c r="B16" s="16" t="s">
        <v>21</v>
      </c>
      <c r="C16" s="20"/>
      <c r="D16" s="18"/>
      <c r="E16" s="18"/>
      <c r="F16" s="18"/>
      <c r="G16" s="18"/>
      <c r="H16" s="18"/>
      <c r="I16" s="18"/>
      <c r="J16" s="18"/>
      <c r="K16" s="18"/>
      <c r="L16" s="18"/>
      <c r="M16" s="22"/>
      <c r="N16" s="8">
        <f t="shared" si="1"/>
        <v>0</v>
      </c>
      <c r="O16" s="16">
        <v>250</v>
      </c>
      <c r="P16" s="21">
        <f t="shared" si="0"/>
        <v>-250</v>
      </c>
    </row>
    <row r="17" spans="1:16">
      <c r="A17" s="19">
        <v>15</v>
      </c>
      <c r="B17" s="16" t="s">
        <v>22</v>
      </c>
      <c r="C17" s="20">
        <v>75</v>
      </c>
      <c r="D17" s="18">
        <v>75</v>
      </c>
      <c r="E17" s="18">
        <v>71</v>
      </c>
      <c r="F17" s="18">
        <v>76</v>
      </c>
      <c r="G17" s="18">
        <v>73</v>
      </c>
      <c r="H17" s="18">
        <v>73</v>
      </c>
      <c r="I17" s="18">
        <v>72</v>
      </c>
      <c r="J17" s="18"/>
      <c r="K17" s="18"/>
      <c r="L17" s="18"/>
      <c r="M17" s="22"/>
      <c r="N17" s="8">
        <f t="shared" si="1"/>
        <v>515</v>
      </c>
      <c r="O17" s="16">
        <v>250</v>
      </c>
      <c r="P17" s="18">
        <f t="shared" si="0"/>
        <v>265</v>
      </c>
    </row>
    <row r="18" spans="1:16">
      <c r="A18" s="15">
        <v>16</v>
      </c>
      <c r="B18" s="16" t="s">
        <v>23</v>
      </c>
      <c r="C18" s="20">
        <v>65</v>
      </c>
      <c r="D18" s="18">
        <v>78</v>
      </c>
      <c r="E18" s="18">
        <v>77</v>
      </c>
      <c r="F18" s="18">
        <v>74</v>
      </c>
      <c r="G18" s="18">
        <v>37</v>
      </c>
      <c r="H18" s="18"/>
      <c r="I18" s="18"/>
      <c r="J18" s="18"/>
      <c r="K18" s="18"/>
      <c r="L18" s="18"/>
      <c r="M18" s="22"/>
      <c r="N18" s="8">
        <f t="shared" si="1"/>
        <v>331</v>
      </c>
      <c r="O18" s="16">
        <v>250</v>
      </c>
      <c r="P18" s="18">
        <f t="shared" si="0"/>
        <v>81</v>
      </c>
    </row>
    <row r="19" spans="1:16">
      <c r="A19" s="26"/>
      <c r="B19" s="27"/>
      <c r="C19" s="144" t="s">
        <v>24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29">
        <f>SUM(N3:N18)</f>
        <v>6046</v>
      </c>
      <c r="O19" s="30"/>
      <c r="P19" s="31"/>
    </row>
    <row r="20" spans="1:16">
      <c r="A20" s="8">
        <v>18</v>
      </c>
      <c r="B20" s="32" t="s">
        <v>25</v>
      </c>
      <c r="C20" s="33">
        <v>72</v>
      </c>
      <c r="D20" s="34">
        <v>74</v>
      </c>
      <c r="E20" s="34">
        <v>78</v>
      </c>
      <c r="F20" s="34">
        <v>76</v>
      </c>
      <c r="G20" s="34">
        <v>68</v>
      </c>
      <c r="H20" s="34">
        <v>31</v>
      </c>
      <c r="I20" s="34"/>
      <c r="J20" s="34"/>
      <c r="K20" s="35"/>
      <c r="L20" s="35"/>
      <c r="M20" s="36"/>
      <c r="N20" s="37">
        <f>SUM(C20:M20)</f>
        <v>399</v>
      </c>
      <c r="O20" s="9">
        <v>250</v>
      </c>
      <c r="P20" s="13">
        <f t="shared" si="0"/>
        <v>149</v>
      </c>
    </row>
    <row r="21" spans="1:16">
      <c r="A21" s="19">
        <v>20</v>
      </c>
      <c r="B21" s="38" t="s">
        <v>26</v>
      </c>
      <c r="C21" s="20">
        <v>70</v>
      </c>
      <c r="D21" s="18">
        <v>78</v>
      </c>
      <c r="E21" s="18">
        <v>67</v>
      </c>
      <c r="F21" s="18">
        <v>64</v>
      </c>
      <c r="G21" s="18">
        <v>46</v>
      </c>
      <c r="H21" s="18">
        <v>64</v>
      </c>
      <c r="I21" s="18">
        <v>27</v>
      </c>
      <c r="J21" s="18"/>
      <c r="K21" s="22"/>
      <c r="L21" s="22"/>
      <c r="M21" s="39"/>
      <c r="N21" s="37">
        <f t="shared" ref="N21:N32" si="2">SUM(C21:M21)</f>
        <v>416</v>
      </c>
      <c r="O21" s="16">
        <v>250</v>
      </c>
      <c r="P21" s="18">
        <f t="shared" si="0"/>
        <v>166</v>
      </c>
    </row>
    <row r="22" spans="1:16">
      <c r="A22" s="15">
        <v>21</v>
      </c>
      <c r="B22" s="38" t="s">
        <v>27</v>
      </c>
      <c r="C22" s="16">
        <v>62</v>
      </c>
      <c r="D22" s="18">
        <v>66</v>
      </c>
      <c r="E22" s="18">
        <v>62</v>
      </c>
      <c r="F22" s="18">
        <v>72</v>
      </c>
      <c r="G22" s="18">
        <v>62</v>
      </c>
      <c r="H22" s="18">
        <v>67</v>
      </c>
      <c r="I22" s="18">
        <v>12</v>
      </c>
      <c r="J22" s="18"/>
      <c r="K22" s="22"/>
      <c r="L22" s="22"/>
      <c r="M22" s="39"/>
      <c r="N22" s="37">
        <f t="shared" si="2"/>
        <v>403</v>
      </c>
      <c r="O22" s="16">
        <v>250</v>
      </c>
      <c r="P22" s="18">
        <f t="shared" si="0"/>
        <v>153</v>
      </c>
    </row>
    <row r="23" spans="1:16">
      <c r="A23" s="19">
        <v>22</v>
      </c>
      <c r="B23" s="38" t="s">
        <v>28</v>
      </c>
      <c r="C23" s="16"/>
      <c r="D23" s="18"/>
      <c r="E23" s="18"/>
      <c r="F23" s="18"/>
      <c r="G23" s="18"/>
      <c r="H23" s="18"/>
      <c r="I23" s="18"/>
      <c r="J23" s="18"/>
      <c r="K23" s="22"/>
      <c r="L23" s="22"/>
      <c r="M23" s="39"/>
      <c r="N23" s="37">
        <f t="shared" si="2"/>
        <v>0</v>
      </c>
      <c r="O23" s="16">
        <v>250</v>
      </c>
      <c r="P23" s="18">
        <f t="shared" si="0"/>
        <v>-250</v>
      </c>
    </row>
    <row r="24" spans="1:16">
      <c r="A24" s="15">
        <v>23</v>
      </c>
      <c r="B24" s="38" t="s">
        <v>29</v>
      </c>
      <c r="C24" s="16">
        <v>65</v>
      </c>
      <c r="D24" s="18">
        <v>55</v>
      </c>
      <c r="E24" s="18">
        <v>75</v>
      </c>
      <c r="F24" s="18">
        <v>69</v>
      </c>
      <c r="G24" s="18"/>
      <c r="H24" s="18"/>
      <c r="I24" s="18"/>
      <c r="J24" s="18"/>
      <c r="K24" s="22"/>
      <c r="L24" s="22"/>
      <c r="M24" s="39"/>
      <c r="N24" s="37">
        <f t="shared" si="2"/>
        <v>264</v>
      </c>
      <c r="O24" s="16">
        <v>250</v>
      </c>
      <c r="P24" s="18">
        <f t="shared" si="0"/>
        <v>14</v>
      </c>
    </row>
    <row r="25" spans="1:16">
      <c r="A25" s="19">
        <v>24</v>
      </c>
      <c r="B25" s="38" t="s">
        <v>30</v>
      </c>
      <c r="C25" s="16"/>
      <c r="D25" s="18"/>
      <c r="E25" s="18"/>
      <c r="F25" s="18"/>
      <c r="G25" s="18"/>
      <c r="H25" s="18"/>
      <c r="I25" s="18"/>
      <c r="J25" s="18"/>
      <c r="K25" s="22"/>
      <c r="L25" s="22"/>
      <c r="M25" s="39"/>
      <c r="N25" s="37">
        <f t="shared" si="2"/>
        <v>0</v>
      </c>
      <c r="O25" s="16">
        <v>250</v>
      </c>
      <c r="P25" s="21">
        <f t="shared" si="0"/>
        <v>-250</v>
      </c>
    </row>
    <row r="26" spans="1:16">
      <c r="A26" s="15">
        <v>25</v>
      </c>
      <c r="B26" s="38" t="s">
        <v>31</v>
      </c>
      <c r="C26" s="16">
        <v>72</v>
      </c>
      <c r="D26" s="18">
        <v>67</v>
      </c>
      <c r="E26" s="18">
        <v>62</v>
      </c>
      <c r="F26" s="18">
        <v>71</v>
      </c>
      <c r="G26" s="18">
        <v>73</v>
      </c>
      <c r="H26" s="18">
        <v>55</v>
      </c>
      <c r="I26" s="18">
        <v>69</v>
      </c>
      <c r="J26" s="18">
        <v>36</v>
      </c>
      <c r="K26" s="22"/>
      <c r="L26" s="22"/>
      <c r="M26" s="39"/>
      <c r="N26" s="37">
        <f t="shared" si="2"/>
        <v>505</v>
      </c>
      <c r="O26" s="16">
        <v>250</v>
      </c>
      <c r="P26" s="18">
        <f t="shared" si="0"/>
        <v>255</v>
      </c>
    </row>
    <row r="27" spans="1:16">
      <c r="A27" s="19">
        <v>26</v>
      </c>
      <c r="B27" s="38" t="s">
        <v>32</v>
      </c>
      <c r="C27" s="16">
        <v>60</v>
      </c>
      <c r="D27" s="18">
        <v>64</v>
      </c>
      <c r="E27" s="18">
        <v>79</v>
      </c>
      <c r="F27" s="18">
        <v>67</v>
      </c>
      <c r="G27" s="18">
        <v>67</v>
      </c>
      <c r="H27" s="18">
        <v>31</v>
      </c>
      <c r="I27" s="18"/>
      <c r="J27" s="18"/>
      <c r="K27" s="22"/>
      <c r="L27" s="22"/>
      <c r="M27" s="39"/>
      <c r="N27" s="37">
        <f t="shared" si="2"/>
        <v>368</v>
      </c>
      <c r="O27" s="16">
        <v>250</v>
      </c>
      <c r="P27" s="21">
        <f t="shared" si="0"/>
        <v>118</v>
      </c>
    </row>
    <row r="28" spans="1:16">
      <c r="A28" s="15">
        <v>27</v>
      </c>
      <c r="B28" s="38" t="s">
        <v>33</v>
      </c>
      <c r="C28" s="16">
        <v>65</v>
      </c>
      <c r="D28" s="18">
        <v>59</v>
      </c>
      <c r="E28" s="18">
        <v>67</v>
      </c>
      <c r="F28" s="18">
        <v>59</v>
      </c>
      <c r="G28" s="18">
        <v>60</v>
      </c>
      <c r="H28" s="18">
        <v>31</v>
      </c>
      <c r="I28" s="18"/>
      <c r="J28" s="18"/>
      <c r="K28" s="22"/>
      <c r="L28" s="22"/>
      <c r="M28" s="39"/>
      <c r="N28" s="37">
        <f t="shared" si="2"/>
        <v>341</v>
      </c>
      <c r="O28" s="16">
        <v>250</v>
      </c>
      <c r="P28" s="18">
        <f t="shared" si="0"/>
        <v>91</v>
      </c>
    </row>
    <row r="29" spans="1:16">
      <c r="A29" s="19">
        <v>28</v>
      </c>
      <c r="B29" s="38" t="s">
        <v>34</v>
      </c>
      <c r="C29" s="16"/>
      <c r="D29" s="18"/>
      <c r="E29" s="18"/>
      <c r="F29" s="18"/>
      <c r="G29" s="18"/>
      <c r="H29" s="18"/>
      <c r="I29" s="18"/>
      <c r="J29" s="18"/>
      <c r="K29" s="22"/>
      <c r="L29" s="22"/>
      <c r="M29" s="39"/>
      <c r="N29" s="37">
        <f t="shared" si="2"/>
        <v>0</v>
      </c>
      <c r="O29" s="16">
        <v>250</v>
      </c>
      <c r="P29" s="21">
        <f t="shared" si="0"/>
        <v>-250</v>
      </c>
    </row>
    <row r="30" spans="1:16">
      <c r="A30" s="15">
        <v>29</v>
      </c>
      <c r="B30" s="40" t="s">
        <v>35</v>
      </c>
      <c r="C30" s="41">
        <v>64</v>
      </c>
      <c r="D30" s="24">
        <v>58</v>
      </c>
      <c r="E30" s="24">
        <v>63</v>
      </c>
      <c r="F30" s="24">
        <v>64</v>
      </c>
      <c r="G30" s="24">
        <v>58</v>
      </c>
      <c r="H30" s="24">
        <v>10</v>
      </c>
      <c r="I30" s="24"/>
      <c r="J30" s="24"/>
      <c r="K30" s="25"/>
      <c r="L30" s="25"/>
      <c r="M30" s="42"/>
      <c r="N30" s="37">
        <f t="shared" si="2"/>
        <v>317</v>
      </c>
      <c r="O30" s="41">
        <v>250</v>
      </c>
      <c r="P30" s="24">
        <f t="shared" si="0"/>
        <v>67</v>
      </c>
    </row>
    <row r="31" spans="1:16">
      <c r="A31" s="19">
        <v>30</v>
      </c>
      <c r="B31" s="38" t="s">
        <v>36</v>
      </c>
      <c r="C31" s="16">
        <v>63</v>
      </c>
      <c r="D31" s="18">
        <v>65</v>
      </c>
      <c r="E31" s="18">
        <v>67</v>
      </c>
      <c r="F31" s="18">
        <v>73</v>
      </c>
      <c r="G31" s="18">
        <v>70</v>
      </c>
      <c r="H31" s="18">
        <v>70</v>
      </c>
      <c r="I31" s="18"/>
      <c r="J31" s="18"/>
      <c r="K31" s="22"/>
      <c r="L31" s="22"/>
      <c r="M31" s="39"/>
      <c r="N31" s="37">
        <f t="shared" si="2"/>
        <v>408</v>
      </c>
      <c r="O31" s="16">
        <v>250</v>
      </c>
      <c r="P31" s="18">
        <f t="shared" si="0"/>
        <v>158</v>
      </c>
    </row>
    <row r="32" spans="1:16">
      <c r="A32" s="15">
        <v>31</v>
      </c>
      <c r="B32" s="40" t="s">
        <v>37</v>
      </c>
      <c r="C32" s="41">
        <v>61</v>
      </c>
      <c r="D32" s="24">
        <v>66</v>
      </c>
      <c r="E32" s="24">
        <v>63</v>
      </c>
      <c r="F32" s="24">
        <v>65</v>
      </c>
      <c r="G32" s="24">
        <v>61</v>
      </c>
      <c r="H32" s="24">
        <v>33</v>
      </c>
      <c r="I32" s="24"/>
      <c r="J32" s="24"/>
      <c r="K32" s="25"/>
      <c r="L32" s="25"/>
      <c r="M32" s="25"/>
      <c r="N32" s="37">
        <f t="shared" si="2"/>
        <v>349</v>
      </c>
      <c r="O32" s="41">
        <v>250</v>
      </c>
      <c r="P32" s="24">
        <f t="shared" si="0"/>
        <v>99</v>
      </c>
    </row>
    <row r="33" spans="1:16">
      <c r="A33" s="26"/>
      <c r="B33" s="43"/>
      <c r="C33" s="145" t="s">
        <v>24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44">
        <f>SUM(N20:N32)</f>
        <v>3770</v>
      </c>
      <c r="O33" s="30"/>
      <c r="P33" s="31"/>
    </row>
    <row r="34" spans="1:16">
      <c r="A34" s="45">
        <v>32</v>
      </c>
      <c r="B34" s="45" t="s">
        <v>38</v>
      </c>
      <c r="C34" s="46">
        <v>70</v>
      </c>
      <c r="D34" s="47">
        <v>68</v>
      </c>
      <c r="E34" s="47">
        <v>73</v>
      </c>
      <c r="F34" s="47">
        <v>56</v>
      </c>
      <c r="G34" s="47">
        <v>64</v>
      </c>
      <c r="H34" s="47"/>
      <c r="I34" s="47"/>
      <c r="J34" s="47"/>
      <c r="K34" s="47"/>
      <c r="L34" s="47"/>
      <c r="M34" s="48"/>
      <c r="N34" s="8">
        <f>SUM(C34:M34)</f>
        <v>331</v>
      </c>
      <c r="O34" s="16">
        <v>250</v>
      </c>
      <c r="P34" s="21">
        <f t="shared" ref="P34:P38" si="3">N34-O34</f>
        <v>81</v>
      </c>
    </row>
    <row r="35" spans="1:16">
      <c r="A35" s="17">
        <v>33</v>
      </c>
      <c r="B35" s="17" t="s">
        <v>39</v>
      </c>
      <c r="C35" s="49"/>
      <c r="D35" s="50"/>
      <c r="E35" s="50"/>
      <c r="F35" s="50"/>
      <c r="G35" s="50"/>
      <c r="H35" s="50"/>
      <c r="I35" s="50"/>
      <c r="J35" s="50"/>
      <c r="K35" s="50"/>
      <c r="L35" s="50"/>
      <c r="M35" s="51"/>
      <c r="N35" s="8" t="s">
        <v>40</v>
      </c>
      <c r="O35" s="16">
        <v>250</v>
      </c>
      <c r="P35" s="18" t="e">
        <f t="shared" si="3"/>
        <v>#VALUE!</v>
      </c>
    </row>
    <row r="36" spans="1:16">
      <c r="A36" s="17">
        <v>34</v>
      </c>
      <c r="B36" s="17" t="s">
        <v>41</v>
      </c>
      <c r="C36" s="49">
        <v>66</v>
      </c>
      <c r="D36" s="50">
        <v>73</v>
      </c>
      <c r="E36" s="50">
        <v>71</v>
      </c>
      <c r="F36" s="50">
        <v>50</v>
      </c>
      <c r="G36" s="50">
        <v>35</v>
      </c>
      <c r="H36" s="50"/>
      <c r="I36" s="50"/>
      <c r="J36" s="50"/>
      <c r="K36" s="50"/>
      <c r="L36" s="50"/>
      <c r="M36" s="51"/>
      <c r="N36" s="8">
        <f t="shared" ref="N35:N38" si="4">SUM(C36:M36)</f>
        <v>295</v>
      </c>
      <c r="O36" s="16">
        <v>250</v>
      </c>
      <c r="P36" s="21">
        <f t="shared" si="3"/>
        <v>45</v>
      </c>
    </row>
    <row r="37" spans="1:16">
      <c r="A37" s="52">
        <v>35</v>
      </c>
      <c r="B37" s="52" t="s">
        <v>42</v>
      </c>
      <c r="C37" s="49"/>
      <c r="D37" s="50"/>
      <c r="E37" s="50"/>
      <c r="F37" s="50"/>
      <c r="G37" s="50"/>
      <c r="H37" s="50"/>
      <c r="I37" s="50"/>
      <c r="J37" s="50"/>
      <c r="K37" s="50"/>
      <c r="L37" s="50"/>
      <c r="M37" s="51"/>
      <c r="N37" s="8">
        <f t="shared" si="4"/>
        <v>0</v>
      </c>
      <c r="O37" s="16">
        <v>250</v>
      </c>
      <c r="P37" s="18">
        <f t="shared" si="3"/>
        <v>-250</v>
      </c>
    </row>
    <row r="38" spans="1:16">
      <c r="A38" s="52">
        <v>36</v>
      </c>
      <c r="B38" s="52" t="s">
        <v>43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5"/>
      <c r="N38" s="8">
        <f t="shared" si="4"/>
        <v>0</v>
      </c>
      <c r="O38" s="41">
        <v>250</v>
      </c>
      <c r="P38" s="56">
        <f t="shared" si="3"/>
        <v>-250</v>
      </c>
    </row>
    <row r="39" spans="1:16">
      <c r="A39" s="57"/>
      <c r="B39" s="58"/>
      <c r="C39" s="143" t="s">
        <v>24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29">
        <f>SUM(N34:N36)</f>
        <v>626</v>
      </c>
      <c r="O39" s="59"/>
      <c r="P39" s="60"/>
    </row>
    <row r="40" spans="1:16">
      <c r="A40" s="8">
        <v>37</v>
      </c>
      <c r="B40" s="61" t="s">
        <v>44</v>
      </c>
      <c r="C40" s="62"/>
      <c r="D40" s="63"/>
      <c r="E40" s="63"/>
      <c r="F40" s="63"/>
      <c r="G40" s="63"/>
      <c r="H40" s="63"/>
      <c r="I40" s="63"/>
      <c r="J40" s="63"/>
      <c r="K40" s="63"/>
      <c r="L40" s="63"/>
      <c r="M40" s="64"/>
      <c r="N40" s="8">
        <f>SUM(C40:M40)</f>
        <v>0</v>
      </c>
      <c r="O40" s="16">
        <v>250</v>
      </c>
      <c r="P40" s="21">
        <v>-250</v>
      </c>
    </row>
    <row r="41" spans="1:16">
      <c r="A41" s="15">
        <v>38</v>
      </c>
      <c r="B41" s="65" t="s">
        <v>45</v>
      </c>
      <c r="C41" s="66">
        <v>65</v>
      </c>
      <c r="D41" s="67">
        <v>64</v>
      </c>
      <c r="E41" s="67">
        <v>66</v>
      </c>
      <c r="F41" s="67">
        <v>60</v>
      </c>
      <c r="G41" s="67">
        <v>60</v>
      </c>
      <c r="H41" s="67">
        <v>46</v>
      </c>
      <c r="I41" s="67"/>
      <c r="J41" s="67"/>
      <c r="K41" s="67"/>
      <c r="L41" s="67"/>
      <c r="M41" s="68"/>
      <c r="N41" s="8">
        <f>SUM(C41:M41)</f>
        <v>361</v>
      </c>
      <c r="O41" s="16">
        <v>250</v>
      </c>
      <c r="P41" s="18">
        <f t="shared" ref="P41" si="5">N41-O41</f>
        <v>111</v>
      </c>
    </row>
    <row r="42" spans="1:16">
      <c r="A42" s="71"/>
      <c r="B42" s="30"/>
      <c r="C42" s="143" t="s">
        <v>24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8"/>
      <c r="N42" s="72">
        <f>SUM(N40:N41)</f>
        <v>361</v>
      </c>
      <c r="O42" s="73"/>
      <c r="P42" s="74"/>
    </row>
    <row r="43" spans="1:16">
      <c r="A43" s="75"/>
      <c r="B43" s="76" t="s">
        <v>46</v>
      </c>
      <c r="C43" s="77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80">
        <f>N42+N39+N33+N19</f>
        <v>10803</v>
      </c>
      <c r="O43" s="81"/>
      <c r="P43" s="79"/>
    </row>
  </sheetData>
  <mergeCells count="5">
    <mergeCell ref="C2:M2"/>
    <mergeCell ref="C19:M19"/>
    <mergeCell ref="C33:M33"/>
    <mergeCell ref="C39:M39"/>
    <mergeCell ref="C42:M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9AFF-C4DA-4CD7-A092-4AB8164C84BC}">
  <dimension ref="A1:P43"/>
  <sheetViews>
    <sheetView workbookViewId="0">
      <selection activeCell="P1" sqref="P1"/>
    </sheetView>
  </sheetViews>
  <sheetFormatPr defaultRowHeight="15"/>
  <cols>
    <col min="2" max="2" width="21" customWidth="1"/>
    <col min="3" max="3" width="3.5703125" customWidth="1"/>
    <col min="4" max="5" width="3.28515625" customWidth="1"/>
    <col min="6" max="6" width="3.140625" customWidth="1"/>
    <col min="7" max="8" width="3.28515625" customWidth="1"/>
    <col min="9" max="9" width="3.140625" customWidth="1"/>
    <col min="10" max="10" width="3" customWidth="1"/>
    <col min="11" max="11" width="3.28515625" customWidth="1"/>
    <col min="12" max="12" width="3" customWidth="1"/>
  </cols>
  <sheetData>
    <row r="1" spans="1:16" ht="15.75">
      <c r="A1" s="1"/>
      <c r="B1" s="2" t="s">
        <v>0</v>
      </c>
      <c r="L1">
        <v>62</v>
      </c>
      <c r="N1" s="3" t="s">
        <v>48</v>
      </c>
    </row>
    <row r="2" spans="1:16">
      <c r="A2" s="3" t="s">
        <v>2</v>
      </c>
      <c r="B2" s="4" t="s">
        <v>3</v>
      </c>
      <c r="C2" s="143" t="s">
        <v>4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3" t="s">
        <v>5</v>
      </c>
      <c r="O2" s="6" t="s">
        <v>6</v>
      </c>
      <c r="P2" s="7" t="s">
        <v>7</v>
      </c>
    </row>
    <row r="3" spans="1:16">
      <c r="A3" s="8">
        <v>1</v>
      </c>
      <c r="B3" s="9" t="s">
        <v>8</v>
      </c>
      <c r="C3" s="10">
        <v>96</v>
      </c>
      <c r="D3" s="11">
        <v>71</v>
      </c>
      <c r="E3" s="11">
        <v>82</v>
      </c>
      <c r="F3" s="11">
        <v>72</v>
      </c>
      <c r="G3" s="11">
        <v>76</v>
      </c>
      <c r="H3" s="11">
        <v>77</v>
      </c>
      <c r="I3" s="12">
        <v>85</v>
      </c>
      <c r="J3" s="13">
        <v>92</v>
      </c>
      <c r="K3" s="13"/>
      <c r="L3" s="13"/>
      <c r="M3" s="14"/>
      <c r="N3" s="8">
        <f>SUM(C3:M3)</f>
        <v>651</v>
      </c>
      <c r="O3" s="9">
        <v>250</v>
      </c>
      <c r="P3" s="18">
        <f t="shared" ref="P3:P33" si="0">N3-O3</f>
        <v>401</v>
      </c>
    </row>
    <row r="4" spans="1:16">
      <c r="A4" s="15">
        <v>2</v>
      </c>
      <c r="B4" s="16" t="s">
        <v>9</v>
      </c>
      <c r="C4" s="17">
        <v>55</v>
      </c>
      <c r="D4" s="18">
        <v>53</v>
      </c>
      <c r="E4" s="18">
        <v>53</v>
      </c>
      <c r="F4" s="18">
        <v>46</v>
      </c>
      <c r="G4" s="18">
        <v>56</v>
      </c>
      <c r="H4" s="18">
        <v>49</v>
      </c>
      <c r="I4" s="18">
        <v>43</v>
      </c>
      <c r="J4" s="13">
        <v>52</v>
      </c>
      <c r="K4" s="13">
        <v>51</v>
      </c>
      <c r="L4" s="13">
        <v>32</v>
      </c>
      <c r="M4" s="14"/>
      <c r="N4" s="8">
        <f t="shared" ref="N4:N18" si="1">SUM(C4:M4)</f>
        <v>490</v>
      </c>
      <c r="O4" s="16">
        <v>250</v>
      </c>
      <c r="P4" s="18">
        <f t="shared" si="0"/>
        <v>240</v>
      </c>
    </row>
    <row r="5" spans="1:16">
      <c r="A5" s="19">
        <v>3</v>
      </c>
      <c r="B5" s="16" t="s">
        <v>10</v>
      </c>
      <c r="C5" s="20">
        <v>63</v>
      </c>
      <c r="D5" s="13">
        <v>50</v>
      </c>
      <c r="E5" s="13">
        <v>64</v>
      </c>
      <c r="F5" s="13">
        <v>58</v>
      </c>
      <c r="G5" s="13">
        <v>60</v>
      </c>
      <c r="H5" s="13">
        <v>51</v>
      </c>
      <c r="I5" s="13">
        <v>60</v>
      </c>
      <c r="J5" s="13">
        <v>61</v>
      </c>
      <c r="K5" s="13"/>
      <c r="L5" s="13"/>
      <c r="M5" s="14"/>
      <c r="N5" s="8">
        <f t="shared" si="1"/>
        <v>467</v>
      </c>
      <c r="O5" s="16">
        <v>250</v>
      </c>
      <c r="P5" s="21">
        <f t="shared" si="0"/>
        <v>217</v>
      </c>
    </row>
    <row r="6" spans="1:16">
      <c r="A6" s="15">
        <v>4</v>
      </c>
      <c r="B6" s="16" t="s">
        <v>11</v>
      </c>
      <c r="C6" s="20">
        <v>62</v>
      </c>
      <c r="D6" s="18">
        <v>58</v>
      </c>
      <c r="E6" s="18">
        <v>62</v>
      </c>
      <c r="F6" s="18">
        <v>59</v>
      </c>
      <c r="G6" s="18">
        <v>56</v>
      </c>
      <c r="H6" s="18">
        <v>64</v>
      </c>
      <c r="I6" s="18">
        <v>61</v>
      </c>
      <c r="J6" s="18">
        <v>56</v>
      </c>
      <c r="K6" s="18"/>
      <c r="L6" s="18"/>
      <c r="M6" s="22"/>
      <c r="N6" s="8">
        <f t="shared" si="1"/>
        <v>478</v>
      </c>
      <c r="O6" s="16">
        <v>250</v>
      </c>
      <c r="P6" s="18">
        <f>N6-O6</f>
        <v>228</v>
      </c>
    </row>
    <row r="7" spans="1:16">
      <c r="A7" s="19">
        <v>5</v>
      </c>
      <c r="B7" s="16" t="s">
        <v>12</v>
      </c>
      <c r="C7" s="20">
        <v>70</v>
      </c>
      <c r="D7" s="18">
        <v>66</v>
      </c>
      <c r="E7" s="18">
        <v>61</v>
      </c>
      <c r="F7" s="18">
        <v>58</v>
      </c>
      <c r="G7" s="18">
        <v>51</v>
      </c>
      <c r="H7" s="18">
        <v>52</v>
      </c>
      <c r="I7" s="18">
        <v>59</v>
      </c>
      <c r="J7" s="18">
        <v>52</v>
      </c>
      <c r="K7" s="18">
        <v>25</v>
      </c>
      <c r="L7" s="18"/>
      <c r="M7" s="22"/>
      <c r="N7" s="8">
        <f t="shared" si="1"/>
        <v>494</v>
      </c>
      <c r="O7" s="16">
        <v>250</v>
      </c>
      <c r="P7" s="18">
        <f t="shared" si="0"/>
        <v>244</v>
      </c>
    </row>
    <row r="8" spans="1:16">
      <c r="A8" s="15">
        <v>6</v>
      </c>
      <c r="B8" s="16" t="s">
        <v>13</v>
      </c>
      <c r="C8" s="20">
        <v>66</v>
      </c>
      <c r="D8" s="18">
        <v>74</v>
      </c>
      <c r="E8" s="18">
        <v>43</v>
      </c>
      <c r="F8" s="18">
        <v>49</v>
      </c>
      <c r="G8" s="18">
        <v>64</v>
      </c>
      <c r="H8" s="18">
        <v>83</v>
      </c>
      <c r="I8" s="18">
        <v>65</v>
      </c>
      <c r="J8" s="18">
        <v>20</v>
      </c>
      <c r="K8" s="18"/>
      <c r="L8" s="18"/>
      <c r="M8" s="22"/>
      <c r="N8" s="8">
        <f t="shared" si="1"/>
        <v>464</v>
      </c>
      <c r="O8" s="16">
        <v>250</v>
      </c>
      <c r="P8" s="18">
        <f t="shared" si="0"/>
        <v>214</v>
      </c>
    </row>
    <row r="9" spans="1:16">
      <c r="A9" s="19">
        <v>7</v>
      </c>
      <c r="B9" s="16" t="s">
        <v>14</v>
      </c>
      <c r="C9" s="20"/>
      <c r="D9" s="18"/>
      <c r="E9" s="18"/>
      <c r="F9" s="18"/>
      <c r="G9" s="18"/>
      <c r="H9" s="18"/>
      <c r="I9" s="18"/>
      <c r="J9" s="18"/>
      <c r="K9" s="18"/>
      <c r="L9" s="18"/>
      <c r="M9" s="22"/>
      <c r="N9" s="8">
        <f t="shared" si="1"/>
        <v>0</v>
      </c>
      <c r="O9" s="16">
        <v>250</v>
      </c>
      <c r="P9" s="18">
        <f t="shared" si="0"/>
        <v>-250</v>
      </c>
    </row>
    <row r="10" spans="1:16">
      <c r="A10" s="15">
        <v>8</v>
      </c>
      <c r="B10" s="16" t="s">
        <v>15</v>
      </c>
      <c r="C10" s="20">
        <v>59</v>
      </c>
      <c r="D10" s="18">
        <v>67</v>
      </c>
      <c r="E10" s="18">
        <v>56</v>
      </c>
      <c r="F10" s="18">
        <v>62</v>
      </c>
      <c r="G10" s="18">
        <v>67</v>
      </c>
      <c r="H10" s="18">
        <v>68</v>
      </c>
      <c r="I10" s="18">
        <v>74</v>
      </c>
      <c r="J10" s="18">
        <v>69</v>
      </c>
      <c r="K10" s="18"/>
      <c r="L10" s="18"/>
      <c r="M10" s="22"/>
      <c r="N10" s="8">
        <f t="shared" si="1"/>
        <v>522</v>
      </c>
      <c r="O10" s="16">
        <v>250</v>
      </c>
      <c r="P10" s="18">
        <f t="shared" si="0"/>
        <v>272</v>
      </c>
    </row>
    <row r="11" spans="1:16">
      <c r="A11" s="19">
        <v>9</v>
      </c>
      <c r="B11" s="16" t="s">
        <v>16</v>
      </c>
      <c r="C11" s="20">
        <v>71</v>
      </c>
      <c r="D11" s="18">
        <v>74</v>
      </c>
      <c r="E11" s="18">
        <v>68</v>
      </c>
      <c r="F11" s="18">
        <v>78</v>
      </c>
      <c r="G11" s="18">
        <v>76</v>
      </c>
      <c r="H11" s="18">
        <v>50</v>
      </c>
      <c r="I11" s="18"/>
      <c r="J11" s="18"/>
      <c r="K11" s="18"/>
      <c r="L11" s="18"/>
      <c r="M11" s="22"/>
      <c r="N11" s="8">
        <f t="shared" si="1"/>
        <v>417</v>
      </c>
      <c r="O11" s="16">
        <v>250</v>
      </c>
      <c r="P11" s="18">
        <f t="shared" si="0"/>
        <v>167</v>
      </c>
    </row>
    <row r="12" spans="1:16">
      <c r="A12" s="15">
        <v>10</v>
      </c>
      <c r="B12" s="16" t="s">
        <v>17</v>
      </c>
      <c r="C12" s="20"/>
      <c r="D12" s="18"/>
      <c r="E12" s="18"/>
      <c r="F12" s="18"/>
      <c r="G12" s="18"/>
      <c r="H12" s="18"/>
      <c r="I12" s="18"/>
      <c r="J12" s="18"/>
      <c r="K12" s="18"/>
      <c r="L12" s="18"/>
      <c r="M12" s="22"/>
      <c r="N12" s="8">
        <f t="shared" si="1"/>
        <v>0</v>
      </c>
      <c r="O12" s="16">
        <v>250</v>
      </c>
      <c r="P12" s="18">
        <f t="shared" si="0"/>
        <v>-250</v>
      </c>
    </row>
    <row r="13" spans="1:16">
      <c r="A13" s="19">
        <v>11</v>
      </c>
      <c r="B13" s="16" t="s">
        <v>18</v>
      </c>
      <c r="C13" s="23">
        <v>53</v>
      </c>
      <c r="D13" s="24">
        <v>55</v>
      </c>
      <c r="E13" s="24">
        <v>51</v>
      </c>
      <c r="F13" s="24">
        <v>48</v>
      </c>
      <c r="G13" s="24">
        <v>55</v>
      </c>
      <c r="H13" s="24">
        <v>54</v>
      </c>
      <c r="I13" s="24">
        <v>56</v>
      </c>
      <c r="J13" s="24">
        <v>13</v>
      </c>
      <c r="K13" s="24"/>
      <c r="L13" s="24"/>
      <c r="M13" s="25"/>
      <c r="N13" s="8">
        <f t="shared" si="1"/>
        <v>385</v>
      </c>
      <c r="O13" s="16">
        <v>250</v>
      </c>
      <c r="P13" s="18">
        <f t="shared" si="0"/>
        <v>135</v>
      </c>
    </row>
    <row r="14" spans="1:16">
      <c r="A14" s="15">
        <v>12</v>
      </c>
      <c r="B14" s="16" t="s">
        <v>19</v>
      </c>
      <c r="C14" s="20">
        <v>62</v>
      </c>
      <c r="D14" s="18">
        <v>69</v>
      </c>
      <c r="E14" s="18">
        <v>58</v>
      </c>
      <c r="F14" s="18">
        <v>61</v>
      </c>
      <c r="G14" s="18">
        <v>69</v>
      </c>
      <c r="H14" s="18">
        <v>53</v>
      </c>
      <c r="I14" s="18">
        <v>26</v>
      </c>
      <c r="J14" s="18"/>
      <c r="K14" s="18"/>
      <c r="L14" s="18"/>
      <c r="M14" s="22"/>
      <c r="N14" s="8">
        <f t="shared" si="1"/>
        <v>398</v>
      </c>
      <c r="O14" s="16">
        <v>250</v>
      </c>
      <c r="P14" s="18">
        <f t="shared" si="0"/>
        <v>148</v>
      </c>
    </row>
    <row r="15" spans="1:16">
      <c r="A15" s="19">
        <v>13</v>
      </c>
      <c r="B15" s="16" t="s">
        <v>20</v>
      </c>
      <c r="C15" s="20">
        <v>63</v>
      </c>
      <c r="D15" s="18">
        <v>78</v>
      </c>
      <c r="E15" s="18">
        <v>68</v>
      </c>
      <c r="F15" s="18">
        <v>69</v>
      </c>
      <c r="G15" s="18">
        <v>79</v>
      </c>
      <c r="H15" s="18">
        <v>74</v>
      </c>
      <c r="I15" s="18">
        <v>66</v>
      </c>
      <c r="J15" s="18">
        <v>69</v>
      </c>
      <c r="K15" s="18">
        <v>59</v>
      </c>
      <c r="L15" s="18"/>
      <c r="M15" s="22"/>
      <c r="N15" s="8">
        <f t="shared" si="1"/>
        <v>625</v>
      </c>
      <c r="O15" s="16">
        <v>250</v>
      </c>
      <c r="P15" s="18">
        <f t="shared" si="0"/>
        <v>375</v>
      </c>
    </row>
    <row r="16" spans="1:16">
      <c r="A16" s="15">
        <v>14</v>
      </c>
      <c r="B16" s="16" t="s">
        <v>21</v>
      </c>
      <c r="C16" s="20"/>
      <c r="D16" s="18"/>
      <c r="E16" s="18"/>
      <c r="F16" s="18"/>
      <c r="G16" s="18"/>
      <c r="H16" s="18"/>
      <c r="I16" s="18"/>
      <c r="J16" s="18"/>
      <c r="K16" s="18"/>
      <c r="L16" s="18"/>
      <c r="M16" s="22"/>
      <c r="N16" s="8">
        <f t="shared" si="1"/>
        <v>0</v>
      </c>
      <c r="O16" s="16">
        <v>250</v>
      </c>
      <c r="P16" s="21">
        <f t="shared" si="0"/>
        <v>-250</v>
      </c>
    </row>
    <row r="17" spans="1:16">
      <c r="A17" s="19">
        <v>15</v>
      </c>
      <c r="B17" s="16" t="s">
        <v>22</v>
      </c>
      <c r="C17" s="20">
        <v>68</v>
      </c>
      <c r="D17" s="18">
        <v>61</v>
      </c>
      <c r="E17" s="18">
        <v>60</v>
      </c>
      <c r="F17" s="18">
        <v>73</v>
      </c>
      <c r="G17" s="18">
        <v>72</v>
      </c>
      <c r="H17" s="18">
        <v>74</v>
      </c>
      <c r="I17" s="18">
        <v>46</v>
      </c>
      <c r="J17" s="18">
        <v>85</v>
      </c>
      <c r="K17" s="18"/>
      <c r="L17" s="18"/>
      <c r="M17" s="22"/>
      <c r="N17" s="8">
        <f t="shared" si="1"/>
        <v>539</v>
      </c>
      <c r="O17" s="16">
        <v>250</v>
      </c>
      <c r="P17" s="18">
        <f t="shared" si="0"/>
        <v>289</v>
      </c>
    </row>
    <row r="18" spans="1:16">
      <c r="A18" s="15">
        <v>16</v>
      </c>
      <c r="B18" s="16" t="s">
        <v>23</v>
      </c>
      <c r="C18" s="20">
        <v>77</v>
      </c>
      <c r="D18" s="18">
        <v>78</v>
      </c>
      <c r="E18" s="18">
        <v>44</v>
      </c>
      <c r="F18" s="18">
        <v>75</v>
      </c>
      <c r="G18" s="18">
        <v>74</v>
      </c>
      <c r="H18" s="18">
        <v>76</v>
      </c>
      <c r="I18" s="18"/>
      <c r="J18" s="18"/>
      <c r="K18" s="18"/>
      <c r="L18" s="18"/>
      <c r="M18" s="22"/>
      <c r="N18" s="8">
        <f t="shared" si="1"/>
        <v>424</v>
      </c>
      <c r="O18" s="16">
        <v>250</v>
      </c>
      <c r="P18" s="18">
        <f t="shared" si="0"/>
        <v>174</v>
      </c>
    </row>
    <row r="19" spans="1:16">
      <c r="A19" s="26"/>
      <c r="B19" s="27"/>
      <c r="C19" s="144" t="s">
        <v>24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29">
        <f>SUM(N3:N18)</f>
        <v>6354</v>
      </c>
      <c r="O19" s="30"/>
      <c r="P19" s="31"/>
    </row>
    <row r="20" spans="1:16">
      <c r="A20" s="8">
        <v>18</v>
      </c>
      <c r="B20" s="32" t="s">
        <v>25</v>
      </c>
      <c r="C20" s="33">
        <v>59</v>
      </c>
      <c r="D20" s="34">
        <v>73</v>
      </c>
      <c r="E20" s="34">
        <v>71</v>
      </c>
      <c r="F20" s="34">
        <v>67</v>
      </c>
      <c r="G20" s="34">
        <v>69</v>
      </c>
      <c r="H20" s="34">
        <v>76</v>
      </c>
      <c r="I20" s="34"/>
      <c r="J20" s="34"/>
      <c r="K20" s="35"/>
      <c r="L20" s="35"/>
      <c r="M20" s="36"/>
      <c r="N20" s="37">
        <f>SUM(C20:M20)</f>
        <v>415</v>
      </c>
      <c r="O20" s="9">
        <v>250</v>
      </c>
      <c r="P20" s="13">
        <f t="shared" si="0"/>
        <v>165</v>
      </c>
    </row>
    <row r="21" spans="1:16">
      <c r="A21" s="19">
        <v>20</v>
      </c>
      <c r="B21" s="38" t="s">
        <v>26</v>
      </c>
      <c r="C21" s="20">
        <v>64</v>
      </c>
      <c r="D21" s="18">
        <v>72</v>
      </c>
      <c r="E21" s="18">
        <v>67</v>
      </c>
      <c r="F21" s="18">
        <v>72</v>
      </c>
      <c r="G21" s="18">
        <v>61</v>
      </c>
      <c r="H21" s="18">
        <v>59</v>
      </c>
      <c r="I21" s="18"/>
      <c r="J21" s="18"/>
      <c r="K21" s="22"/>
      <c r="L21" s="22"/>
      <c r="M21" s="39"/>
      <c r="N21" s="37">
        <f t="shared" ref="N21:N32" si="2">SUM(C21:M21)</f>
        <v>395</v>
      </c>
      <c r="O21" s="16">
        <v>250</v>
      </c>
      <c r="P21" s="18">
        <f t="shared" si="0"/>
        <v>145</v>
      </c>
    </row>
    <row r="22" spans="1:16">
      <c r="A22" s="15">
        <v>21</v>
      </c>
      <c r="B22" s="38" t="s">
        <v>27</v>
      </c>
      <c r="C22" s="16">
        <v>66</v>
      </c>
      <c r="D22" s="18">
        <v>61</v>
      </c>
      <c r="E22" s="18">
        <v>67</v>
      </c>
      <c r="F22" s="18">
        <v>70</v>
      </c>
      <c r="G22" s="18">
        <v>67</v>
      </c>
      <c r="H22" s="18">
        <v>58</v>
      </c>
      <c r="I22" s="18">
        <v>24</v>
      </c>
      <c r="J22" s="18"/>
      <c r="K22" s="22"/>
      <c r="L22" s="22"/>
      <c r="M22" s="39"/>
      <c r="N22" s="37">
        <f t="shared" si="2"/>
        <v>413</v>
      </c>
      <c r="O22" s="16">
        <v>250</v>
      </c>
      <c r="P22" s="18">
        <f t="shared" si="0"/>
        <v>163</v>
      </c>
    </row>
    <row r="23" spans="1:16">
      <c r="A23" s="19">
        <v>22</v>
      </c>
      <c r="B23" s="38" t="s">
        <v>28</v>
      </c>
      <c r="C23" s="16">
        <v>71</v>
      </c>
      <c r="D23" s="18">
        <v>66</v>
      </c>
      <c r="E23" s="18">
        <v>70</v>
      </c>
      <c r="F23" s="18">
        <v>66</v>
      </c>
      <c r="G23" s="18">
        <v>39</v>
      </c>
      <c r="H23" s="18">
        <v>72</v>
      </c>
      <c r="I23" s="18"/>
      <c r="J23" s="18"/>
      <c r="K23" s="22"/>
      <c r="L23" s="22"/>
      <c r="M23" s="39"/>
      <c r="N23" s="37">
        <f t="shared" si="2"/>
        <v>384</v>
      </c>
      <c r="O23" s="16">
        <v>250</v>
      </c>
      <c r="P23" s="18">
        <f t="shared" si="0"/>
        <v>134</v>
      </c>
    </row>
    <row r="24" spans="1:16">
      <c r="A24" s="15">
        <v>23</v>
      </c>
      <c r="B24" s="38" t="s">
        <v>29</v>
      </c>
      <c r="C24" s="16">
        <v>59</v>
      </c>
      <c r="D24" s="18">
        <v>67</v>
      </c>
      <c r="E24" s="18">
        <v>66</v>
      </c>
      <c r="F24" s="18">
        <v>72</v>
      </c>
      <c r="G24" s="18">
        <v>59</v>
      </c>
      <c r="H24" s="18">
        <v>37</v>
      </c>
      <c r="I24" s="18"/>
      <c r="J24" s="18"/>
      <c r="K24" s="22"/>
      <c r="L24" s="22"/>
      <c r="M24" s="39"/>
      <c r="N24" s="37">
        <f t="shared" si="2"/>
        <v>360</v>
      </c>
      <c r="O24" s="16">
        <v>250</v>
      </c>
      <c r="P24" s="18">
        <f t="shared" si="0"/>
        <v>110</v>
      </c>
    </row>
    <row r="25" spans="1:16">
      <c r="A25" s="19">
        <v>24</v>
      </c>
      <c r="B25" s="38" t="s">
        <v>30</v>
      </c>
      <c r="C25" s="16"/>
      <c r="D25" s="18"/>
      <c r="E25" s="18"/>
      <c r="F25" s="18"/>
      <c r="G25" s="18"/>
      <c r="H25" s="18"/>
      <c r="I25" s="18"/>
      <c r="J25" s="18"/>
      <c r="K25" s="22"/>
      <c r="L25" s="22"/>
      <c r="M25" s="39"/>
      <c r="N25" s="37">
        <f t="shared" si="2"/>
        <v>0</v>
      </c>
      <c r="O25" s="16">
        <v>250</v>
      </c>
      <c r="P25" s="21">
        <f t="shared" si="0"/>
        <v>-250</v>
      </c>
    </row>
    <row r="26" spans="1:16">
      <c r="A26" s="15">
        <v>25</v>
      </c>
      <c r="B26" s="38" t="s">
        <v>31</v>
      </c>
      <c r="C26" s="16">
        <v>68</v>
      </c>
      <c r="D26" s="18">
        <v>69</v>
      </c>
      <c r="E26" s="18">
        <v>75</v>
      </c>
      <c r="F26" s="18">
        <v>69</v>
      </c>
      <c r="G26" s="18">
        <v>72</v>
      </c>
      <c r="H26" s="18">
        <v>68</v>
      </c>
      <c r="I26" s="18">
        <v>74</v>
      </c>
      <c r="J26" s="18">
        <v>71</v>
      </c>
      <c r="K26" s="22"/>
      <c r="L26" s="22"/>
      <c r="M26" s="39"/>
      <c r="N26" s="37">
        <f t="shared" si="2"/>
        <v>566</v>
      </c>
      <c r="O26" s="16">
        <v>250</v>
      </c>
      <c r="P26" s="18">
        <f t="shared" si="0"/>
        <v>316</v>
      </c>
    </row>
    <row r="27" spans="1:16">
      <c r="A27" s="19">
        <v>26</v>
      </c>
      <c r="B27" s="38" t="s">
        <v>32</v>
      </c>
      <c r="C27" s="16">
        <v>58</v>
      </c>
      <c r="D27" s="18">
        <v>64</v>
      </c>
      <c r="E27" s="18">
        <v>71</v>
      </c>
      <c r="F27" s="18">
        <v>76</v>
      </c>
      <c r="G27" s="18">
        <v>75</v>
      </c>
      <c r="H27" s="18">
        <v>71</v>
      </c>
      <c r="I27" s="18">
        <v>69</v>
      </c>
      <c r="J27" s="18"/>
      <c r="K27" s="22"/>
      <c r="L27" s="22"/>
      <c r="M27" s="39"/>
      <c r="N27" s="37">
        <f t="shared" si="2"/>
        <v>484</v>
      </c>
      <c r="O27" s="16">
        <v>250</v>
      </c>
      <c r="P27" s="21">
        <f t="shared" si="0"/>
        <v>234</v>
      </c>
    </row>
    <row r="28" spans="1:16">
      <c r="A28" s="15">
        <v>27</v>
      </c>
      <c r="B28" s="38" t="s">
        <v>33</v>
      </c>
      <c r="C28" s="16">
        <v>61</v>
      </c>
      <c r="D28" s="18">
        <v>66</v>
      </c>
      <c r="E28" s="18">
        <v>68</v>
      </c>
      <c r="F28" s="18">
        <v>64</v>
      </c>
      <c r="G28" s="18">
        <v>66</v>
      </c>
      <c r="H28" s="18">
        <v>59</v>
      </c>
      <c r="I28" s="18">
        <v>36</v>
      </c>
      <c r="J28" s="18"/>
      <c r="K28" s="22"/>
      <c r="L28" s="22"/>
      <c r="M28" s="39"/>
      <c r="N28" s="37">
        <f t="shared" si="2"/>
        <v>420</v>
      </c>
      <c r="O28" s="16">
        <v>250</v>
      </c>
      <c r="P28" s="18">
        <f t="shared" si="0"/>
        <v>170</v>
      </c>
    </row>
    <row r="29" spans="1:16">
      <c r="A29" s="19">
        <v>28</v>
      </c>
      <c r="B29" s="38" t="s">
        <v>34</v>
      </c>
      <c r="C29" s="16">
        <v>55</v>
      </c>
      <c r="D29" s="18">
        <v>57</v>
      </c>
      <c r="E29" s="18">
        <v>63</v>
      </c>
      <c r="F29" s="18">
        <v>55</v>
      </c>
      <c r="G29" s="18">
        <v>56</v>
      </c>
      <c r="H29" s="18">
        <v>49</v>
      </c>
      <c r="I29" s="18"/>
      <c r="J29" s="18"/>
      <c r="K29" s="22"/>
      <c r="L29" s="22"/>
      <c r="M29" s="39"/>
      <c r="N29" s="37">
        <f t="shared" si="2"/>
        <v>335</v>
      </c>
      <c r="O29" s="16">
        <v>250</v>
      </c>
      <c r="P29" s="21">
        <f t="shared" si="0"/>
        <v>85</v>
      </c>
    </row>
    <row r="30" spans="1:16">
      <c r="A30" s="15">
        <v>29</v>
      </c>
      <c r="B30" s="40" t="s">
        <v>35</v>
      </c>
      <c r="C30" s="41">
        <v>72</v>
      </c>
      <c r="D30" s="24">
        <v>69</v>
      </c>
      <c r="E30" s="24">
        <v>63</v>
      </c>
      <c r="F30" s="24">
        <v>65</v>
      </c>
      <c r="G30" s="24">
        <v>76</v>
      </c>
      <c r="H30" s="24">
        <v>66</v>
      </c>
      <c r="I30" s="24"/>
      <c r="J30" s="24"/>
      <c r="K30" s="25"/>
      <c r="L30" s="25"/>
      <c r="M30" s="42"/>
      <c r="N30" s="37">
        <f t="shared" si="2"/>
        <v>411</v>
      </c>
      <c r="O30" s="41">
        <v>250</v>
      </c>
      <c r="P30" s="24">
        <f t="shared" si="0"/>
        <v>161</v>
      </c>
    </row>
    <row r="31" spans="1:16">
      <c r="A31" s="19">
        <v>30</v>
      </c>
      <c r="B31" s="38" t="s">
        <v>36</v>
      </c>
      <c r="C31" s="16">
        <v>75</v>
      </c>
      <c r="D31" s="18">
        <v>75</v>
      </c>
      <c r="E31" s="18">
        <v>65</v>
      </c>
      <c r="F31" s="18">
        <v>67</v>
      </c>
      <c r="G31" s="18">
        <v>63</v>
      </c>
      <c r="H31" s="18">
        <v>38</v>
      </c>
      <c r="I31" s="18"/>
      <c r="J31" s="18"/>
      <c r="K31" s="22"/>
      <c r="L31" s="22"/>
      <c r="M31" s="39"/>
      <c r="N31" s="37">
        <f t="shared" si="2"/>
        <v>383</v>
      </c>
      <c r="O31" s="16">
        <v>250</v>
      </c>
      <c r="P31" s="18">
        <f t="shared" si="0"/>
        <v>133</v>
      </c>
    </row>
    <row r="32" spans="1:16">
      <c r="A32" s="15">
        <v>31</v>
      </c>
      <c r="B32" s="40" t="s">
        <v>37</v>
      </c>
      <c r="C32" s="41">
        <v>68</v>
      </c>
      <c r="D32" s="24">
        <v>59</v>
      </c>
      <c r="E32" s="24">
        <v>71</v>
      </c>
      <c r="F32" s="24">
        <v>62</v>
      </c>
      <c r="G32" s="24">
        <v>62</v>
      </c>
      <c r="H32" s="24">
        <v>61</v>
      </c>
      <c r="I32" s="24">
        <v>25</v>
      </c>
      <c r="J32" s="24"/>
      <c r="K32" s="25"/>
      <c r="L32" s="25"/>
      <c r="M32" s="25"/>
      <c r="N32" s="37">
        <f t="shared" si="2"/>
        <v>408</v>
      </c>
      <c r="O32" s="41">
        <v>250</v>
      </c>
      <c r="P32" s="24">
        <f t="shared" si="0"/>
        <v>158</v>
      </c>
    </row>
    <row r="33" spans="1:16">
      <c r="A33" s="26"/>
      <c r="B33" s="43"/>
      <c r="C33" s="145" t="s">
        <v>24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44">
        <f>SUM(N20:N32)</f>
        <v>4974</v>
      </c>
      <c r="O33" s="30"/>
      <c r="P33" s="31"/>
    </row>
    <row r="34" spans="1:16">
      <c r="A34" s="45">
        <v>32</v>
      </c>
      <c r="B34" s="45" t="s">
        <v>38</v>
      </c>
      <c r="C34" s="46"/>
      <c r="D34" s="47"/>
      <c r="E34" s="47"/>
      <c r="F34" s="47"/>
      <c r="G34" s="47"/>
      <c r="H34" s="47"/>
      <c r="I34" s="47"/>
      <c r="J34" s="47"/>
      <c r="K34" s="47"/>
      <c r="L34" s="47"/>
      <c r="M34" s="48"/>
      <c r="N34" s="8">
        <f>SUM(C34:M34)</f>
        <v>0</v>
      </c>
      <c r="O34" s="16">
        <v>250</v>
      </c>
      <c r="P34" s="21">
        <f t="shared" ref="P34:P38" si="3">N34-O34</f>
        <v>-250</v>
      </c>
    </row>
    <row r="35" spans="1:16">
      <c r="A35" s="17">
        <v>33</v>
      </c>
      <c r="B35" s="17" t="s">
        <v>39</v>
      </c>
      <c r="C35" s="49"/>
      <c r="D35" s="50"/>
      <c r="E35" s="50"/>
      <c r="F35" s="50"/>
      <c r="G35" s="50"/>
      <c r="H35" s="50"/>
      <c r="I35" s="50"/>
      <c r="J35" s="50"/>
      <c r="K35" s="50"/>
      <c r="L35" s="50"/>
      <c r="M35" s="51"/>
      <c r="N35" s="8">
        <f t="shared" ref="N35:N38" si="4">SUM(C35:M35)</f>
        <v>0</v>
      </c>
      <c r="O35" s="16">
        <v>250</v>
      </c>
      <c r="P35" s="18">
        <f t="shared" si="3"/>
        <v>-250</v>
      </c>
    </row>
    <row r="36" spans="1:16">
      <c r="A36" s="17">
        <v>34</v>
      </c>
      <c r="B36" s="17" t="s">
        <v>41</v>
      </c>
      <c r="C36" s="49">
        <v>69</v>
      </c>
      <c r="D36" s="50">
        <v>69</v>
      </c>
      <c r="E36" s="50">
        <v>69</v>
      </c>
      <c r="F36" s="50">
        <v>47</v>
      </c>
      <c r="G36" s="50">
        <v>12</v>
      </c>
      <c r="H36" s="50"/>
      <c r="I36" s="50"/>
      <c r="J36" s="50"/>
      <c r="K36" s="50"/>
      <c r="L36" s="50"/>
      <c r="M36" s="51"/>
      <c r="N36" s="8">
        <f t="shared" si="4"/>
        <v>266</v>
      </c>
      <c r="O36" s="16">
        <v>250</v>
      </c>
      <c r="P36" s="21">
        <f t="shared" si="3"/>
        <v>16</v>
      </c>
    </row>
    <row r="37" spans="1:16">
      <c r="A37" s="52">
        <v>35</v>
      </c>
      <c r="B37" s="52" t="s">
        <v>42</v>
      </c>
      <c r="C37" s="49">
        <v>63</v>
      </c>
      <c r="D37" s="50">
        <v>68</v>
      </c>
      <c r="E37" s="50">
        <v>68</v>
      </c>
      <c r="F37" s="50">
        <v>52</v>
      </c>
      <c r="G37" s="50">
        <v>35</v>
      </c>
      <c r="H37" s="50"/>
      <c r="I37" s="50"/>
      <c r="J37" s="50"/>
      <c r="K37" s="50"/>
      <c r="L37" s="50"/>
      <c r="M37" s="51"/>
      <c r="N37" s="8">
        <f t="shared" si="4"/>
        <v>286</v>
      </c>
      <c r="O37" s="16">
        <v>250</v>
      </c>
      <c r="P37" s="18">
        <f t="shared" si="3"/>
        <v>36</v>
      </c>
    </row>
    <row r="38" spans="1:16">
      <c r="A38" s="52">
        <v>36</v>
      </c>
      <c r="B38" s="52" t="s">
        <v>43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5"/>
      <c r="N38" s="8">
        <f t="shared" si="4"/>
        <v>0</v>
      </c>
      <c r="O38" s="41">
        <v>250</v>
      </c>
      <c r="P38" s="56">
        <f t="shared" si="3"/>
        <v>-250</v>
      </c>
    </row>
    <row r="39" spans="1:16">
      <c r="A39" s="57"/>
      <c r="B39" s="58"/>
      <c r="C39" s="143" t="s">
        <v>24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29">
        <f>SUM(N36,N37)</f>
        <v>552</v>
      </c>
      <c r="O39" s="59"/>
      <c r="P39" s="60"/>
    </row>
    <row r="40" spans="1:16">
      <c r="A40" s="8">
        <v>37</v>
      </c>
      <c r="B40" s="61" t="s">
        <v>44</v>
      </c>
      <c r="C40" s="62">
        <v>64</v>
      </c>
      <c r="D40" s="63">
        <v>59</v>
      </c>
      <c r="E40" s="63">
        <v>54</v>
      </c>
      <c r="F40" s="63">
        <v>48</v>
      </c>
      <c r="G40" s="63">
        <v>54</v>
      </c>
      <c r="H40" s="63">
        <v>69</v>
      </c>
      <c r="I40" s="63">
        <v>38</v>
      </c>
      <c r="J40" s="63"/>
      <c r="K40" s="63"/>
      <c r="L40" s="63"/>
      <c r="M40" s="64"/>
      <c r="N40" s="8">
        <f>SUM(C40:M40)</f>
        <v>386</v>
      </c>
      <c r="O40" s="16">
        <v>250</v>
      </c>
      <c r="P40" s="18">
        <f t="shared" ref="P40:P41" si="5">N40-O40</f>
        <v>136</v>
      </c>
    </row>
    <row r="41" spans="1:16">
      <c r="A41" s="15">
        <v>38</v>
      </c>
      <c r="B41" s="65" t="s">
        <v>45</v>
      </c>
      <c r="C41" s="66">
        <v>63</v>
      </c>
      <c r="D41" s="67">
        <v>63</v>
      </c>
      <c r="E41" s="67">
        <v>78</v>
      </c>
      <c r="F41" s="67">
        <v>70</v>
      </c>
      <c r="G41" s="67">
        <v>53</v>
      </c>
      <c r="H41" s="67">
        <v>33</v>
      </c>
      <c r="I41" s="67"/>
      <c r="J41" s="67"/>
      <c r="K41" s="67"/>
      <c r="L41" s="67"/>
      <c r="M41" s="68"/>
      <c r="N41" s="8">
        <f>SUM(C41:M41)</f>
        <v>360</v>
      </c>
      <c r="O41" s="16">
        <v>250</v>
      </c>
      <c r="P41" s="18">
        <f t="shared" si="5"/>
        <v>110</v>
      </c>
    </row>
    <row r="42" spans="1:16">
      <c r="A42" s="71"/>
      <c r="B42" s="30"/>
      <c r="C42" s="143" t="s">
        <v>24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8"/>
      <c r="N42" s="72">
        <f>SUM(N40:N41)</f>
        <v>746</v>
      </c>
      <c r="O42" s="73"/>
      <c r="P42" s="74"/>
    </row>
    <row r="43" spans="1:16">
      <c r="A43" s="75"/>
      <c r="B43" s="76" t="s">
        <v>46</v>
      </c>
      <c r="C43" s="77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80">
        <f>N42+N39+N33+N19</f>
        <v>12626</v>
      </c>
      <c r="O43" s="81"/>
      <c r="P43" s="79"/>
    </row>
  </sheetData>
  <mergeCells count="5">
    <mergeCell ref="C2:M2"/>
    <mergeCell ref="C19:M19"/>
    <mergeCell ref="C33:M33"/>
    <mergeCell ref="C39:M39"/>
    <mergeCell ref="C42:M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DA8A-992F-4F61-83B5-EDA620C10668}">
  <dimension ref="A1:P43"/>
  <sheetViews>
    <sheetView workbookViewId="0">
      <selection activeCell="P1" sqref="P1"/>
    </sheetView>
  </sheetViews>
  <sheetFormatPr defaultRowHeight="15"/>
  <cols>
    <col min="2" max="2" width="21.140625" customWidth="1"/>
    <col min="3" max="3" width="3.7109375" customWidth="1"/>
    <col min="4" max="4" width="3.85546875" customWidth="1"/>
    <col min="5" max="6" width="3.7109375" customWidth="1"/>
    <col min="7" max="7" width="4.140625" customWidth="1"/>
    <col min="8" max="10" width="4.42578125" customWidth="1"/>
    <col min="11" max="12" width="3.5703125" customWidth="1"/>
  </cols>
  <sheetData>
    <row r="1" spans="1:16" ht="15.75">
      <c r="A1" s="1"/>
      <c r="B1" s="2" t="s">
        <v>49</v>
      </c>
      <c r="L1">
        <v>62</v>
      </c>
      <c r="N1" s="3" t="s">
        <v>50</v>
      </c>
    </row>
    <row r="2" spans="1:16">
      <c r="A2" s="3" t="s">
        <v>2</v>
      </c>
      <c r="B2" s="4" t="s">
        <v>3</v>
      </c>
      <c r="C2" s="143" t="s">
        <v>4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3" t="s">
        <v>5</v>
      </c>
      <c r="O2" s="6" t="s">
        <v>6</v>
      </c>
      <c r="P2" s="7" t="s">
        <v>7</v>
      </c>
    </row>
    <row r="3" spans="1:16">
      <c r="A3" s="8">
        <v>1</v>
      </c>
      <c r="B3" s="9" t="s">
        <v>8</v>
      </c>
      <c r="C3" s="10">
        <v>93</v>
      </c>
      <c r="D3" s="11">
        <v>109</v>
      </c>
      <c r="E3" s="11">
        <v>118</v>
      </c>
      <c r="F3" s="11">
        <v>109</v>
      </c>
      <c r="G3" s="11">
        <v>112</v>
      </c>
      <c r="H3" s="11">
        <v>117</v>
      </c>
      <c r="I3" s="12">
        <v>112</v>
      </c>
      <c r="J3" s="13">
        <v>118</v>
      </c>
      <c r="K3" s="13">
        <v>83</v>
      </c>
      <c r="L3" s="13">
        <v>10</v>
      </c>
      <c r="M3" s="14"/>
      <c r="N3" s="8">
        <f>SUM(C3:M3)</f>
        <v>981</v>
      </c>
      <c r="O3" s="9">
        <v>250</v>
      </c>
      <c r="P3" s="18">
        <f t="shared" ref="P3:P33" si="0">N3-O3</f>
        <v>731</v>
      </c>
    </row>
    <row r="4" spans="1:16">
      <c r="A4" s="15">
        <v>2</v>
      </c>
      <c r="B4" s="16" t="s">
        <v>9</v>
      </c>
      <c r="C4" s="17">
        <v>91</v>
      </c>
      <c r="D4" s="18">
        <v>92</v>
      </c>
      <c r="E4" s="18">
        <v>89</v>
      </c>
      <c r="F4" s="18">
        <v>113</v>
      </c>
      <c r="G4" s="18">
        <v>120</v>
      </c>
      <c r="H4" s="18">
        <v>111</v>
      </c>
      <c r="I4" s="18">
        <v>83</v>
      </c>
      <c r="J4" s="13">
        <v>65</v>
      </c>
      <c r="K4" s="13"/>
      <c r="L4" s="13"/>
      <c r="M4" s="14"/>
      <c r="N4" s="8">
        <f t="shared" ref="N4:N18" si="1">SUM(C4:M4)</f>
        <v>764</v>
      </c>
      <c r="O4" s="16">
        <v>250</v>
      </c>
      <c r="P4" s="18">
        <f t="shared" si="0"/>
        <v>514</v>
      </c>
    </row>
    <row r="5" spans="1:16">
      <c r="A5" s="19">
        <v>3</v>
      </c>
      <c r="B5" s="16" t="s">
        <v>10</v>
      </c>
      <c r="C5" s="20">
        <v>59</v>
      </c>
      <c r="D5" s="13">
        <v>58</v>
      </c>
      <c r="E5" s="13">
        <v>89</v>
      </c>
      <c r="F5" s="13">
        <v>97</v>
      </c>
      <c r="G5" s="13">
        <v>94</v>
      </c>
      <c r="H5" s="13">
        <v>95</v>
      </c>
      <c r="I5" s="13">
        <v>86</v>
      </c>
      <c r="J5" s="13">
        <v>67</v>
      </c>
      <c r="K5" s="13">
        <v>37</v>
      </c>
      <c r="L5" s="13">
        <v>14</v>
      </c>
      <c r="M5" s="14"/>
      <c r="N5" s="8">
        <f t="shared" si="1"/>
        <v>696</v>
      </c>
      <c r="O5" s="16">
        <v>250</v>
      </c>
      <c r="P5" s="21">
        <f t="shared" si="0"/>
        <v>446</v>
      </c>
    </row>
    <row r="6" spans="1:16">
      <c r="A6" s="15">
        <v>4</v>
      </c>
      <c r="B6" s="16" t="s">
        <v>11</v>
      </c>
      <c r="C6" s="20">
        <v>63</v>
      </c>
      <c r="D6" s="18">
        <v>69</v>
      </c>
      <c r="E6" s="18">
        <v>65</v>
      </c>
      <c r="F6" s="18">
        <v>63</v>
      </c>
      <c r="G6" s="18">
        <v>64</v>
      </c>
      <c r="H6" s="18">
        <v>69</v>
      </c>
      <c r="I6" s="18">
        <v>73</v>
      </c>
      <c r="J6" s="18">
        <v>66</v>
      </c>
      <c r="K6" s="18">
        <v>79</v>
      </c>
      <c r="L6" s="18">
        <v>36</v>
      </c>
      <c r="M6" s="22"/>
      <c r="N6" s="8">
        <f t="shared" si="1"/>
        <v>647</v>
      </c>
      <c r="O6" s="16">
        <v>250</v>
      </c>
      <c r="P6" s="18">
        <f>N6-O6</f>
        <v>397</v>
      </c>
    </row>
    <row r="7" spans="1:16">
      <c r="A7" s="19">
        <v>5</v>
      </c>
      <c r="B7" s="16" t="s">
        <v>12</v>
      </c>
      <c r="C7" s="20">
        <v>63</v>
      </c>
      <c r="D7" s="18">
        <v>80</v>
      </c>
      <c r="E7" s="18">
        <v>77</v>
      </c>
      <c r="F7" s="18">
        <v>75</v>
      </c>
      <c r="G7" s="18">
        <v>70</v>
      </c>
      <c r="H7" s="18">
        <v>69</v>
      </c>
      <c r="I7" s="18">
        <v>66</v>
      </c>
      <c r="J7" s="18">
        <v>71</v>
      </c>
      <c r="K7" s="18">
        <v>72</v>
      </c>
      <c r="L7" s="18"/>
      <c r="M7" s="22"/>
      <c r="N7" s="8">
        <f t="shared" si="1"/>
        <v>643</v>
      </c>
      <c r="O7" s="16">
        <v>250</v>
      </c>
      <c r="P7" s="18">
        <f t="shared" si="0"/>
        <v>393</v>
      </c>
    </row>
    <row r="8" spans="1:16">
      <c r="A8" s="15">
        <v>6</v>
      </c>
      <c r="B8" s="16" t="s">
        <v>13</v>
      </c>
      <c r="C8" s="20">
        <v>107</v>
      </c>
      <c r="D8" s="18">
        <v>74</v>
      </c>
      <c r="E8" s="18">
        <v>123</v>
      </c>
      <c r="F8" s="18">
        <v>75</v>
      </c>
      <c r="G8" s="18">
        <v>81</v>
      </c>
      <c r="H8" s="18">
        <v>78</v>
      </c>
      <c r="I8" s="18">
        <v>74</v>
      </c>
      <c r="J8" s="18">
        <v>72</v>
      </c>
      <c r="K8" s="18">
        <v>69</v>
      </c>
      <c r="L8" s="18">
        <v>12</v>
      </c>
      <c r="M8" s="22"/>
      <c r="N8" s="8">
        <f t="shared" si="1"/>
        <v>765</v>
      </c>
      <c r="O8" s="16">
        <v>250</v>
      </c>
      <c r="P8" s="18">
        <f t="shared" si="0"/>
        <v>515</v>
      </c>
    </row>
    <row r="9" spans="1:16">
      <c r="A9" s="19">
        <v>7</v>
      </c>
      <c r="B9" s="16" t="s">
        <v>14</v>
      </c>
      <c r="C9" s="20"/>
      <c r="D9" s="18"/>
      <c r="E9" s="18"/>
      <c r="F9" s="18"/>
      <c r="G9" s="18"/>
      <c r="H9" s="18"/>
      <c r="I9" s="18"/>
      <c r="J9" s="18"/>
      <c r="K9" s="18"/>
      <c r="L9" s="18"/>
      <c r="M9" s="22"/>
      <c r="N9" s="8">
        <f t="shared" si="1"/>
        <v>0</v>
      </c>
      <c r="O9" s="16">
        <v>250</v>
      </c>
      <c r="P9" s="18">
        <f t="shared" si="0"/>
        <v>-250</v>
      </c>
    </row>
    <row r="10" spans="1:16">
      <c r="A10" s="15">
        <v>8</v>
      </c>
      <c r="B10" s="16" t="s">
        <v>15</v>
      </c>
      <c r="C10" s="20">
        <v>67</v>
      </c>
      <c r="D10" s="18">
        <v>63</v>
      </c>
      <c r="E10" s="18">
        <v>68</v>
      </c>
      <c r="F10" s="18">
        <v>63</v>
      </c>
      <c r="G10" s="18">
        <v>72</v>
      </c>
      <c r="H10" s="18">
        <v>67</v>
      </c>
      <c r="I10" s="18">
        <v>67</v>
      </c>
      <c r="J10" s="18">
        <v>69</v>
      </c>
      <c r="K10" s="18">
        <v>63</v>
      </c>
      <c r="L10" s="18">
        <v>53</v>
      </c>
      <c r="M10" s="22"/>
      <c r="N10" s="8">
        <f t="shared" si="1"/>
        <v>652</v>
      </c>
      <c r="O10" s="16">
        <v>250</v>
      </c>
      <c r="P10" s="18">
        <f t="shared" si="0"/>
        <v>402</v>
      </c>
    </row>
    <row r="11" spans="1:16">
      <c r="A11" s="19">
        <v>9</v>
      </c>
      <c r="B11" s="16" t="s">
        <v>16</v>
      </c>
      <c r="C11" s="20">
        <v>66</v>
      </c>
      <c r="D11" s="18">
        <v>68</v>
      </c>
      <c r="E11" s="18">
        <v>76</v>
      </c>
      <c r="F11" s="18">
        <v>82</v>
      </c>
      <c r="G11" s="18">
        <v>78</v>
      </c>
      <c r="H11" s="18">
        <v>71</v>
      </c>
      <c r="I11" s="18">
        <v>71</v>
      </c>
      <c r="J11" s="18">
        <v>36</v>
      </c>
      <c r="K11" s="18"/>
      <c r="L11" s="18"/>
      <c r="M11" s="22"/>
      <c r="N11" s="8">
        <f t="shared" si="1"/>
        <v>548</v>
      </c>
      <c r="O11" s="16">
        <v>250</v>
      </c>
      <c r="P11" s="18">
        <f t="shared" si="0"/>
        <v>298</v>
      </c>
    </row>
    <row r="12" spans="1:16">
      <c r="A12" s="15">
        <v>10</v>
      </c>
      <c r="B12" s="16" t="s">
        <v>17</v>
      </c>
      <c r="C12" s="20">
        <v>73</v>
      </c>
      <c r="D12" s="18">
        <v>76</v>
      </c>
      <c r="E12" s="18">
        <v>87</v>
      </c>
      <c r="F12" s="18">
        <v>79</v>
      </c>
      <c r="G12" s="18">
        <v>72</v>
      </c>
      <c r="H12" s="18">
        <v>75</v>
      </c>
      <c r="I12" s="18">
        <v>78</v>
      </c>
      <c r="J12" s="18">
        <v>72</v>
      </c>
      <c r="K12" s="18">
        <v>75</v>
      </c>
      <c r="L12" s="18">
        <v>51</v>
      </c>
      <c r="M12" s="22"/>
      <c r="N12" s="8">
        <f t="shared" si="1"/>
        <v>738</v>
      </c>
      <c r="O12" s="16">
        <v>250</v>
      </c>
      <c r="P12" s="18">
        <f t="shared" si="0"/>
        <v>488</v>
      </c>
    </row>
    <row r="13" spans="1:16">
      <c r="A13" s="19">
        <v>11</v>
      </c>
      <c r="B13" s="16" t="s">
        <v>18</v>
      </c>
      <c r="C13" s="23">
        <v>58</v>
      </c>
      <c r="D13" s="24">
        <v>67</v>
      </c>
      <c r="E13" s="24">
        <v>60</v>
      </c>
      <c r="F13" s="24">
        <v>62</v>
      </c>
      <c r="G13" s="24">
        <v>67</v>
      </c>
      <c r="H13" s="24">
        <v>60</v>
      </c>
      <c r="I13" s="24">
        <v>52</v>
      </c>
      <c r="J13" s="24">
        <v>48</v>
      </c>
      <c r="K13" s="24">
        <v>34</v>
      </c>
      <c r="L13" s="24"/>
      <c r="M13" s="25"/>
      <c r="N13" s="8">
        <f t="shared" si="1"/>
        <v>508</v>
      </c>
      <c r="O13" s="16">
        <v>250</v>
      </c>
      <c r="P13" s="18">
        <f t="shared" si="0"/>
        <v>258</v>
      </c>
    </row>
    <row r="14" spans="1:16">
      <c r="A14" s="15">
        <v>12</v>
      </c>
      <c r="B14" s="16" t="s">
        <v>19</v>
      </c>
      <c r="C14" s="20">
        <v>61</v>
      </c>
      <c r="D14" s="18">
        <v>66</v>
      </c>
      <c r="E14" s="18">
        <v>74</v>
      </c>
      <c r="F14" s="18">
        <v>65</v>
      </c>
      <c r="G14" s="18">
        <v>68</v>
      </c>
      <c r="H14" s="18">
        <v>68</v>
      </c>
      <c r="I14" s="18">
        <v>77</v>
      </c>
      <c r="J14" s="18">
        <v>74</v>
      </c>
      <c r="K14" s="18">
        <v>11</v>
      </c>
      <c r="L14" s="18"/>
      <c r="M14" s="22"/>
      <c r="N14" s="8">
        <f t="shared" si="1"/>
        <v>564</v>
      </c>
      <c r="O14" s="16">
        <v>250</v>
      </c>
      <c r="P14" s="18">
        <f t="shared" si="0"/>
        <v>314</v>
      </c>
    </row>
    <row r="15" spans="1:16">
      <c r="A15" s="19">
        <v>13</v>
      </c>
      <c r="B15" s="16" t="s">
        <v>20</v>
      </c>
      <c r="C15" s="20">
        <v>122</v>
      </c>
      <c r="D15" s="18">
        <v>110</v>
      </c>
      <c r="E15" s="18">
        <v>117</v>
      </c>
      <c r="F15" s="18">
        <v>112</v>
      </c>
      <c r="G15" s="18">
        <v>107</v>
      </c>
      <c r="H15" s="18">
        <v>117</v>
      </c>
      <c r="I15" s="18">
        <v>109</v>
      </c>
      <c r="J15" s="18">
        <v>78</v>
      </c>
      <c r="K15" s="18">
        <v>59</v>
      </c>
      <c r="L15" s="18"/>
      <c r="M15" s="22"/>
      <c r="N15" s="8">
        <f t="shared" si="1"/>
        <v>931</v>
      </c>
      <c r="O15" s="16">
        <v>250</v>
      </c>
      <c r="P15" s="18">
        <f t="shared" si="0"/>
        <v>681</v>
      </c>
    </row>
    <row r="16" spans="1:16">
      <c r="A16" s="15">
        <v>14</v>
      </c>
      <c r="B16" s="16" t="s">
        <v>21</v>
      </c>
      <c r="C16" s="20"/>
      <c r="D16" s="18"/>
      <c r="E16" s="18"/>
      <c r="F16" s="18"/>
      <c r="G16" s="18"/>
      <c r="H16" s="18"/>
      <c r="I16" s="18"/>
      <c r="J16" s="18"/>
      <c r="K16" s="18"/>
      <c r="L16" s="18"/>
      <c r="M16" s="22"/>
      <c r="N16" s="8">
        <f t="shared" si="1"/>
        <v>0</v>
      </c>
      <c r="O16" s="16">
        <v>250</v>
      </c>
      <c r="P16" s="21">
        <f t="shared" si="0"/>
        <v>-250</v>
      </c>
    </row>
    <row r="17" spans="1:16">
      <c r="A17" s="19">
        <v>15</v>
      </c>
      <c r="B17" s="16" t="s">
        <v>22</v>
      </c>
      <c r="C17" s="20">
        <v>73</v>
      </c>
      <c r="D17" s="18">
        <v>81</v>
      </c>
      <c r="E17" s="18">
        <v>65</v>
      </c>
      <c r="F17" s="18">
        <v>46</v>
      </c>
      <c r="G17" s="18">
        <v>78</v>
      </c>
      <c r="H17" s="18">
        <v>86</v>
      </c>
      <c r="I17" s="18">
        <v>79</v>
      </c>
      <c r="J17" s="18">
        <v>84</v>
      </c>
      <c r="K17" s="18">
        <v>83</v>
      </c>
      <c r="L17" s="18"/>
      <c r="M17" s="22"/>
      <c r="N17" s="8">
        <f t="shared" si="1"/>
        <v>675</v>
      </c>
      <c r="O17" s="16">
        <v>250</v>
      </c>
      <c r="P17" s="18">
        <f t="shared" si="0"/>
        <v>425</v>
      </c>
    </row>
    <row r="18" spans="1:16">
      <c r="A18" s="15">
        <v>16</v>
      </c>
      <c r="B18" s="16" t="s">
        <v>23</v>
      </c>
      <c r="C18" s="20">
        <v>58</v>
      </c>
      <c r="D18" s="18">
        <v>66</v>
      </c>
      <c r="E18" s="18">
        <v>68</v>
      </c>
      <c r="F18" s="18">
        <v>76</v>
      </c>
      <c r="G18" s="18">
        <v>73</v>
      </c>
      <c r="H18" s="18">
        <v>67</v>
      </c>
      <c r="I18" s="18">
        <v>67</v>
      </c>
      <c r="J18" s="18">
        <v>72</v>
      </c>
      <c r="K18" s="18">
        <v>11</v>
      </c>
      <c r="L18" s="18"/>
      <c r="M18" s="22"/>
      <c r="N18" s="8">
        <f t="shared" si="1"/>
        <v>558</v>
      </c>
      <c r="O18" s="16">
        <v>250</v>
      </c>
      <c r="P18" s="18">
        <f t="shared" si="0"/>
        <v>308</v>
      </c>
    </row>
    <row r="19" spans="1:16">
      <c r="A19" s="26"/>
      <c r="B19" s="27"/>
      <c r="C19" s="144" t="s">
        <v>24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29">
        <f>SUM(N3:N18)</f>
        <v>9670</v>
      </c>
      <c r="O19" s="30"/>
      <c r="P19" s="31"/>
    </row>
    <row r="20" spans="1:16">
      <c r="A20" s="8">
        <v>18</v>
      </c>
      <c r="B20" s="32" t="s">
        <v>25</v>
      </c>
      <c r="C20" s="33">
        <v>77</v>
      </c>
      <c r="D20" s="34">
        <v>72</v>
      </c>
      <c r="E20" s="34">
        <v>74</v>
      </c>
      <c r="F20" s="34">
        <v>79</v>
      </c>
      <c r="G20" s="34">
        <v>74</v>
      </c>
      <c r="H20" s="34">
        <v>73</v>
      </c>
      <c r="I20" s="34">
        <v>39</v>
      </c>
      <c r="J20" s="34"/>
      <c r="K20" s="35"/>
      <c r="L20" s="35"/>
      <c r="M20" s="36"/>
      <c r="N20" s="37">
        <f>SUM(C20:M20)</f>
        <v>488</v>
      </c>
      <c r="O20" s="9">
        <v>250</v>
      </c>
      <c r="P20" s="13">
        <f t="shared" si="0"/>
        <v>238</v>
      </c>
    </row>
    <row r="21" spans="1:16">
      <c r="A21" s="19">
        <v>20</v>
      </c>
      <c r="B21" s="38" t="s">
        <v>26</v>
      </c>
      <c r="C21" s="20">
        <v>77</v>
      </c>
      <c r="D21" s="18">
        <v>78</v>
      </c>
      <c r="E21" s="18">
        <v>74</v>
      </c>
      <c r="F21" s="18">
        <v>74</v>
      </c>
      <c r="G21" s="18">
        <v>65</v>
      </c>
      <c r="H21" s="18">
        <v>72</v>
      </c>
      <c r="I21" s="18">
        <v>61</v>
      </c>
      <c r="J21" s="18">
        <v>28</v>
      </c>
      <c r="K21" s="22"/>
      <c r="L21" s="22"/>
      <c r="M21" s="39"/>
      <c r="N21" s="37">
        <f t="shared" ref="N21:N32" si="2">SUM(C21:M21)</f>
        <v>529</v>
      </c>
      <c r="O21" s="16">
        <v>250</v>
      </c>
      <c r="P21" s="18">
        <f t="shared" si="0"/>
        <v>279</v>
      </c>
    </row>
    <row r="22" spans="1:16">
      <c r="A22" s="15">
        <v>21</v>
      </c>
      <c r="B22" s="38" t="s">
        <v>27</v>
      </c>
      <c r="C22" s="16">
        <v>73</v>
      </c>
      <c r="D22" s="18">
        <v>63</v>
      </c>
      <c r="E22" s="18">
        <v>70</v>
      </c>
      <c r="F22" s="18">
        <v>74</v>
      </c>
      <c r="G22" s="18">
        <v>77</v>
      </c>
      <c r="H22" s="18">
        <v>77</v>
      </c>
      <c r="I22" s="18">
        <v>73</v>
      </c>
      <c r="J22" s="18">
        <v>63</v>
      </c>
      <c r="K22" s="22">
        <v>80</v>
      </c>
      <c r="L22" s="22">
        <v>11</v>
      </c>
      <c r="M22" s="39"/>
      <c r="N22" s="37">
        <f t="shared" si="2"/>
        <v>661</v>
      </c>
      <c r="O22" s="16">
        <v>250</v>
      </c>
      <c r="P22" s="18">
        <f t="shared" si="0"/>
        <v>411</v>
      </c>
    </row>
    <row r="23" spans="1:16">
      <c r="A23" s="19">
        <v>22</v>
      </c>
      <c r="B23" s="38" t="s">
        <v>28</v>
      </c>
      <c r="C23" s="16">
        <v>69</v>
      </c>
      <c r="D23" s="18">
        <v>67</v>
      </c>
      <c r="E23" s="18">
        <v>56</v>
      </c>
      <c r="F23" s="18">
        <v>58</v>
      </c>
      <c r="G23" s="18">
        <v>67</v>
      </c>
      <c r="H23" s="18">
        <v>61</v>
      </c>
      <c r="I23" s="18">
        <v>66</v>
      </c>
      <c r="J23" s="18">
        <v>69</v>
      </c>
      <c r="K23" s="22"/>
      <c r="L23" s="22"/>
      <c r="M23" s="39"/>
      <c r="N23" s="37">
        <f t="shared" si="2"/>
        <v>513</v>
      </c>
      <c r="O23" s="16">
        <v>250</v>
      </c>
      <c r="P23" s="18">
        <f t="shared" si="0"/>
        <v>263</v>
      </c>
    </row>
    <row r="24" spans="1:16">
      <c r="A24" s="15">
        <v>23</v>
      </c>
      <c r="B24" s="38" t="s">
        <v>29</v>
      </c>
      <c r="C24" s="16"/>
      <c r="D24" s="18"/>
      <c r="E24" s="18"/>
      <c r="F24" s="18"/>
      <c r="G24" s="18"/>
      <c r="H24" s="18"/>
      <c r="I24" s="18"/>
      <c r="J24" s="18"/>
      <c r="K24" s="22"/>
      <c r="L24" s="22"/>
      <c r="M24" s="39"/>
      <c r="N24" s="37">
        <f t="shared" si="2"/>
        <v>0</v>
      </c>
      <c r="O24" s="16">
        <v>250</v>
      </c>
      <c r="P24" s="18">
        <f t="shared" si="0"/>
        <v>-250</v>
      </c>
    </row>
    <row r="25" spans="1:16">
      <c r="A25" s="19">
        <v>24</v>
      </c>
      <c r="B25" s="38" t="s">
        <v>30</v>
      </c>
      <c r="C25" s="16"/>
      <c r="D25" s="18"/>
      <c r="E25" s="18"/>
      <c r="F25" s="18"/>
      <c r="G25" s="18"/>
      <c r="H25" s="18"/>
      <c r="I25" s="18"/>
      <c r="J25" s="18"/>
      <c r="K25" s="22"/>
      <c r="L25" s="22"/>
      <c r="M25" s="39"/>
      <c r="N25" s="37">
        <f t="shared" si="2"/>
        <v>0</v>
      </c>
      <c r="O25" s="16">
        <v>250</v>
      </c>
      <c r="P25" s="21">
        <f t="shared" si="0"/>
        <v>-250</v>
      </c>
    </row>
    <row r="26" spans="1:16">
      <c r="A26" s="15">
        <v>25</v>
      </c>
      <c r="B26" s="38" t="s">
        <v>31</v>
      </c>
      <c r="C26" s="16">
        <v>71</v>
      </c>
      <c r="D26" s="18">
        <v>76</v>
      </c>
      <c r="E26" s="18">
        <v>67</v>
      </c>
      <c r="F26" s="18">
        <v>65</v>
      </c>
      <c r="G26" s="18">
        <v>77</v>
      </c>
      <c r="H26" s="18">
        <v>67</v>
      </c>
      <c r="I26" s="18">
        <v>69</v>
      </c>
      <c r="J26" s="18">
        <v>62</v>
      </c>
      <c r="K26" s="22">
        <v>23</v>
      </c>
      <c r="L26" s="22"/>
      <c r="M26" s="39"/>
      <c r="N26" s="37">
        <f t="shared" si="2"/>
        <v>577</v>
      </c>
      <c r="O26" s="16">
        <v>250</v>
      </c>
      <c r="P26" s="18">
        <f t="shared" si="0"/>
        <v>327</v>
      </c>
    </row>
    <row r="27" spans="1:16">
      <c r="A27" s="19">
        <v>26</v>
      </c>
      <c r="B27" s="38" t="s">
        <v>32</v>
      </c>
      <c r="C27" s="16">
        <v>57</v>
      </c>
      <c r="D27" s="18">
        <v>67</v>
      </c>
      <c r="E27" s="18">
        <v>70</v>
      </c>
      <c r="F27" s="18">
        <v>72</v>
      </c>
      <c r="G27" s="18">
        <v>75</v>
      </c>
      <c r="H27" s="18">
        <v>78</v>
      </c>
      <c r="I27" s="18">
        <v>77</v>
      </c>
      <c r="J27" s="18">
        <v>74</v>
      </c>
      <c r="K27" s="22">
        <v>74</v>
      </c>
      <c r="L27" s="22">
        <v>17</v>
      </c>
      <c r="M27" s="39"/>
      <c r="N27" s="37">
        <f t="shared" si="2"/>
        <v>661</v>
      </c>
      <c r="O27" s="16">
        <v>250</v>
      </c>
      <c r="P27" s="21">
        <f t="shared" si="0"/>
        <v>411</v>
      </c>
    </row>
    <row r="28" spans="1:16">
      <c r="A28" s="15">
        <v>27</v>
      </c>
      <c r="B28" s="38" t="s">
        <v>33</v>
      </c>
      <c r="C28" s="16">
        <v>62</v>
      </c>
      <c r="D28" s="18">
        <v>75</v>
      </c>
      <c r="E28" s="18">
        <v>75</v>
      </c>
      <c r="F28" s="18">
        <v>59</v>
      </c>
      <c r="G28" s="18">
        <v>61</v>
      </c>
      <c r="H28" s="18">
        <v>83</v>
      </c>
      <c r="I28" s="18">
        <v>63</v>
      </c>
      <c r="J28" s="18">
        <v>77</v>
      </c>
      <c r="K28" s="22">
        <v>83</v>
      </c>
      <c r="L28" s="22">
        <v>37</v>
      </c>
      <c r="M28" s="39"/>
      <c r="N28" s="37">
        <f t="shared" si="2"/>
        <v>675</v>
      </c>
      <c r="O28" s="16">
        <v>250</v>
      </c>
      <c r="P28" s="18">
        <f t="shared" si="0"/>
        <v>425</v>
      </c>
    </row>
    <row r="29" spans="1:16">
      <c r="A29" s="19">
        <v>28</v>
      </c>
      <c r="B29" s="38" t="s">
        <v>34</v>
      </c>
      <c r="C29" s="16">
        <v>57</v>
      </c>
      <c r="D29" s="18">
        <v>55</v>
      </c>
      <c r="E29" s="18">
        <v>58</v>
      </c>
      <c r="F29" s="18">
        <v>54</v>
      </c>
      <c r="G29" s="18">
        <v>53</v>
      </c>
      <c r="H29" s="18">
        <v>65</v>
      </c>
      <c r="I29" s="18">
        <v>57</v>
      </c>
      <c r="J29" s="18">
        <v>58</v>
      </c>
      <c r="K29" s="22"/>
      <c r="L29" s="22"/>
      <c r="M29" s="39"/>
      <c r="N29" s="37">
        <f t="shared" si="2"/>
        <v>457</v>
      </c>
      <c r="O29" s="16">
        <v>250</v>
      </c>
      <c r="P29" s="21">
        <f t="shared" si="0"/>
        <v>207</v>
      </c>
    </row>
    <row r="30" spans="1:16">
      <c r="A30" s="15">
        <v>29</v>
      </c>
      <c r="B30" s="40" t="s">
        <v>35</v>
      </c>
      <c r="C30" s="41"/>
      <c r="D30" s="24"/>
      <c r="E30" s="24"/>
      <c r="F30" s="24"/>
      <c r="G30" s="24"/>
      <c r="H30" s="24"/>
      <c r="I30" s="24"/>
      <c r="J30" s="24"/>
      <c r="K30" s="25"/>
      <c r="L30" s="25"/>
      <c r="M30" s="42"/>
      <c r="N30" s="37">
        <f t="shared" si="2"/>
        <v>0</v>
      </c>
      <c r="O30" s="41">
        <v>250</v>
      </c>
      <c r="P30" s="24">
        <f t="shared" si="0"/>
        <v>-250</v>
      </c>
    </row>
    <row r="31" spans="1:16">
      <c r="A31" s="19">
        <v>30</v>
      </c>
      <c r="B31" s="38" t="s">
        <v>36</v>
      </c>
      <c r="C31" s="16">
        <v>71</v>
      </c>
      <c r="D31" s="18">
        <v>69</v>
      </c>
      <c r="E31" s="18">
        <v>71</v>
      </c>
      <c r="F31" s="18">
        <v>69</v>
      </c>
      <c r="G31" s="18">
        <v>71</v>
      </c>
      <c r="H31" s="18">
        <v>83</v>
      </c>
      <c r="I31" s="18">
        <v>76</v>
      </c>
      <c r="J31" s="18">
        <v>32</v>
      </c>
      <c r="K31" s="22"/>
      <c r="L31" s="22"/>
      <c r="M31" s="39"/>
      <c r="N31" s="37">
        <f t="shared" si="2"/>
        <v>542</v>
      </c>
      <c r="O31" s="16">
        <v>250</v>
      </c>
      <c r="P31" s="18">
        <f t="shared" si="0"/>
        <v>292</v>
      </c>
    </row>
    <row r="32" spans="1:16">
      <c r="A32" s="15">
        <v>31</v>
      </c>
      <c r="B32" s="40" t="s">
        <v>37</v>
      </c>
      <c r="C32" s="41">
        <v>71</v>
      </c>
      <c r="D32" s="24">
        <v>72</v>
      </c>
      <c r="E32" s="24">
        <v>76</v>
      </c>
      <c r="F32" s="24">
        <v>76</v>
      </c>
      <c r="G32" s="24">
        <v>69</v>
      </c>
      <c r="H32" s="24">
        <v>67</v>
      </c>
      <c r="I32" s="24">
        <v>85</v>
      </c>
      <c r="J32" s="24"/>
      <c r="K32" s="25"/>
      <c r="L32" s="25"/>
      <c r="M32" s="25"/>
      <c r="N32" s="37">
        <f t="shared" si="2"/>
        <v>516</v>
      </c>
      <c r="O32" s="41">
        <v>250</v>
      </c>
      <c r="P32" s="24">
        <f t="shared" si="0"/>
        <v>266</v>
      </c>
    </row>
    <row r="33" spans="1:16">
      <c r="A33" s="26"/>
      <c r="B33" s="43"/>
      <c r="C33" s="145" t="s">
        <v>24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44">
        <f>SUM(N20:N32)</f>
        <v>5619</v>
      </c>
      <c r="O33" s="30"/>
      <c r="P33" s="31"/>
    </row>
    <row r="34" spans="1:16">
      <c r="A34" s="45">
        <v>32</v>
      </c>
      <c r="B34" s="45" t="s">
        <v>38</v>
      </c>
      <c r="C34" s="46">
        <v>70</v>
      </c>
      <c r="D34" s="47">
        <v>77</v>
      </c>
      <c r="E34" s="47">
        <v>73</v>
      </c>
      <c r="F34" s="47">
        <v>77</v>
      </c>
      <c r="G34" s="47">
        <v>75</v>
      </c>
      <c r="H34" s="47">
        <v>70</v>
      </c>
      <c r="I34" s="47">
        <v>41</v>
      </c>
      <c r="J34" s="47"/>
      <c r="K34" s="47"/>
      <c r="L34" s="47"/>
      <c r="M34" s="48"/>
      <c r="N34" s="8">
        <f>SUM(C34:M34)</f>
        <v>483</v>
      </c>
      <c r="O34" s="16">
        <v>250</v>
      </c>
      <c r="P34" s="21">
        <f t="shared" ref="P34:P38" si="3">N34-O34</f>
        <v>233</v>
      </c>
    </row>
    <row r="35" spans="1:16">
      <c r="A35" s="17">
        <v>33</v>
      </c>
      <c r="B35" s="17" t="s">
        <v>39</v>
      </c>
      <c r="C35" s="49"/>
      <c r="D35" s="50"/>
      <c r="E35" s="50"/>
      <c r="F35" s="50"/>
      <c r="G35" s="50"/>
      <c r="H35" s="50"/>
      <c r="I35" s="50"/>
      <c r="J35" s="50"/>
      <c r="K35" s="50"/>
      <c r="L35" s="50"/>
      <c r="M35" s="51"/>
      <c r="N35" s="8">
        <f t="shared" ref="N35:N38" si="4">SUM(C35:M35)</f>
        <v>0</v>
      </c>
      <c r="O35" s="16">
        <v>250</v>
      </c>
      <c r="P35" s="18">
        <f t="shared" si="3"/>
        <v>-250</v>
      </c>
    </row>
    <row r="36" spans="1:16">
      <c r="A36" s="17">
        <v>34</v>
      </c>
      <c r="B36" s="17" t="s">
        <v>41</v>
      </c>
      <c r="C36" s="49">
        <v>63</v>
      </c>
      <c r="D36" s="50">
        <v>70</v>
      </c>
      <c r="E36" s="50">
        <v>72</v>
      </c>
      <c r="F36" s="50">
        <v>72</v>
      </c>
      <c r="G36" s="50">
        <v>71</v>
      </c>
      <c r="H36" s="50">
        <v>61</v>
      </c>
      <c r="I36" s="50"/>
      <c r="J36" s="50"/>
      <c r="K36" s="50"/>
      <c r="L36" s="50"/>
      <c r="M36" s="51"/>
      <c r="N36" s="8">
        <f t="shared" si="4"/>
        <v>409</v>
      </c>
      <c r="O36" s="16">
        <v>250</v>
      </c>
      <c r="P36" s="21">
        <f t="shared" si="3"/>
        <v>159</v>
      </c>
    </row>
    <row r="37" spans="1:16">
      <c r="A37" s="52">
        <v>35</v>
      </c>
      <c r="B37" s="52" t="s">
        <v>42</v>
      </c>
      <c r="C37" s="49">
        <v>63</v>
      </c>
      <c r="D37" s="50">
        <v>71</v>
      </c>
      <c r="E37" s="50">
        <v>72</v>
      </c>
      <c r="F37" s="50">
        <v>73</v>
      </c>
      <c r="G37" s="50">
        <v>63</v>
      </c>
      <c r="H37" s="50">
        <v>20</v>
      </c>
      <c r="I37" s="50"/>
      <c r="J37" s="50"/>
      <c r="K37" s="50"/>
      <c r="L37" s="50"/>
      <c r="M37" s="51"/>
      <c r="N37" s="8">
        <f t="shared" si="4"/>
        <v>362</v>
      </c>
      <c r="O37" s="16">
        <v>250</v>
      </c>
      <c r="P37" s="18">
        <f t="shared" si="3"/>
        <v>112</v>
      </c>
    </row>
    <row r="38" spans="1:16">
      <c r="A38" s="52">
        <v>36</v>
      </c>
      <c r="B38" s="52" t="s">
        <v>43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5"/>
      <c r="N38" s="8">
        <f t="shared" si="4"/>
        <v>0</v>
      </c>
      <c r="O38" s="41">
        <v>250</v>
      </c>
      <c r="P38" s="56">
        <f t="shared" si="3"/>
        <v>-250</v>
      </c>
    </row>
    <row r="39" spans="1:16">
      <c r="A39" s="57"/>
      <c r="B39" s="58"/>
      <c r="C39" s="143" t="s">
        <v>24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29">
        <f>SUM(N37,N36,N34)</f>
        <v>1254</v>
      </c>
      <c r="O39" s="59"/>
      <c r="P39" s="60"/>
    </row>
    <row r="40" spans="1:16">
      <c r="A40" s="8">
        <v>37</v>
      </c>
      <c r="B40" s="61" t="s">
        <v>44</v>
      </c>
      <c r="C40" s="62">
        <v>66</v>
      </c>
      <c r="D40" s="63">
        <v>71</v>
      </c>
      <c r="E40" s="63">
        <v>69</v>
      </c>
      <c r="F40" s="63">
        <v>72</v>
      </c>
      <c r="G40" s="63">
        <v>83</v>
      </c>
      <c r="H40" s="63">
        <v>71</v>
      </c>
      <c r="I40" s="63">
        <v>57</v>
      </c>
      <c r="J40" s="63">
        <v>71</v>
      </c>
      <c r="K40" s="63">
        <v>29</v>
      </c>
      <c r="L40" s="63"/>
      <c r="M40" s="64"/>
      <c r="N40" s="8">
        <f>SUM(C40:M40)</f>
        <v>589</v>
      </c>
      <c r="O40" s="16">
        <v>250</v>
      </c>
      <c r="P40" s="18">
        <f t="shared" ref="P40:P41" si="5">N40-O40</f>
        <v>339</v>
      </c>
    </row>
    <row r="41" spans="1:16">
      <c r="A41" s="15">
        <v>38</v>
      </c>
      <c r="B41" s="65" t="s">
        <v>45</v>
      </c>
      <c r="C41" s="66">
        <v>61</v>
      </c>
      <c r="D41" s="67">
        <v>71</v>
      </c>
      <c r="E41" s="67">
        <v>68</v>
      </c>
      <c r="F41" s="67">
        <v>72</v>
      </c>
      <c r="G41" s="67">
        <v>76</v>
      </c>
      <c r="H41" s="67">
        <v>75</v>
      </c>
      <c r="I41" s="67">
        <v>39</v>
      </c>
      <c r="J41" s="67"/>
      <c r="K41" s="67"/>
      <c r="L41" s="67"/>
      <c r="M41" s="68"/>
      <c r="N41" s="8">
        <f>SUM(C41:M41)</f>
        <v>462</v>
      </c>
      <c r="O41" s="16">
        <v>250</v>
      </c>
      <c r="P41" s="18">
        <f t="shared" si="5"/>
        <v>212</v>
      </c>
    </row>
    <row r="42" spans="1:16">
      <c r="A42" s="71"/>
      <c r="B42" s="30"/>
      <c r="C42" s="143" t="s">
        <v>24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8"/>
      <c r="N42" s="72">
        <f>SUM(N40:N41)</f>
        <v>1051</v>
      </c>
      <c r="O42" s="73"/>
      <c r="P42" s="74"/>
    </row>
    <row r="43" spans="1:16">
      <c r="A43" s="75"/>
      <c r="B43" s="76" t="s">
        <v>46</v>
      </c>
      <c r="C43" s="77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80">
        <f>N42+N39+N33+N19</f>
        <v>17594</v>
      </c>
      <c r="O43" s="81"/>
      <c r="P43" s="79"/>
    </row>
  </sheetData>
  <mergeCells count="5">
    <mergeCell ref="C2:M2"/>
    <mergeCell ref="C19:M19"/>
    <mergeCell ref="C33:M33"/>
    <mergeCell ref="C39:M39"/>
    <mergeCell ref="C42:M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548D-B5F2-433F-B1F3-936F9A6D86C1}">
  <dimension ref="A1:P43"/>
  <sheetViews>
    <sheetView topLeftCell="A30" workbookViewId="0">
      <selection activeCell="A45" sqref="A45"/>
    </sheetView>
  </sheetViews>
  <sheetFormatPr defaultRowHeight="15"/>
  <cols>
    <col min="2" max="2" width="21.140625" customWidth="1"/>
    <col min="3" max="3" width="3.85546875" customWidth="1"/>
    <col min="4" max="4" width="4.140625" customWidth="1"/>
    <col min="5" max="6" width="3.7109375" customWidth="1"/>
    <col min="7" max="7" width="4.28515625" customWidth="1"/>
    <col min="8" max="8" width="4.5703125" customWidth="1"/>
    <col min="9" max="9" width="3.85546875" customWidth="1"/>
    <col min="10" max="10" width="4.140625" customWidth="1"/>
    <col min="11" max="12" width="3.42578125" customWidth="1"/>
    <col min="13" max="13" width="7.42578125" customWidth="1"/>
  </cols>
  <sheetData>
    <row r="1" spans="1:16" ht="15.75">
      <c r="A1" s="1"/>
      <c r="B1" s="2" t="s">
        <v>49</v>
      </c>
      <c r="L1">
        <v>62</v>
      </c>
      <c r="N1" s="3" t="s">
        <v>51</v>
      </c>
    </row>
    <row r="2" spans="1:16">
      <c r="A2" s="3" t="s">
        <v>2</v>
      </c>
      <c r="B2" s="4" t="s">
        <v>3</v>
      </c>
      <c r="C2" s="143" t="s">
        <v>4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3" t="s">
        <v>5</v>
      </c>
      <c r="O2" s="6" t="s">
        <v>6</v>
      </c>
      <c r="P2" s="7" t="s">
        <v>7</v>
      </c>
    </row>
    <row r="3" spans="1:16">
      <c r="A3" s="8">
        <v>1</v>
      </c>
      <c r="B3" s="9" t="s">
        <v>8</v>
      </c>
      <c r="C3" s="10">
        <v>87</v>
      </c>
      <c r="D3" s="11">
        <v>74</v>
      </c>
      <c r="E3" s="11">
        <v>89</v>
      </c>
      <c r="F3" s="11">
        <v>126</v>
      </c>
      <c r="G3" s="11">
        <v>126</v>
      </c>
      <c r="H3" s="11">
        <v>141</v>
      </c>
      <c r="I3" s="12">
        <v>122</v>
      </c>
      <c r="J3" s="13">
        <v>101</v>
      </c>
      <c r="K3" s="13">
        <v>50</v>
      </c>
      <c r="L3" s="13">
        <v>50</v>
      </c>
      <c r="M3" s="14"/>
      <c r="N3" s="8">
        <f>SUM(C3:M3)</f>
        <v>966</v>
      </c>
      <c r="O3" s="9">
        <v>250</v>
      </c>
      <c r="P3" s="18">
        <f t="shared" ref="P3:P33" si="0">N3-O3</f>
        <v>716</v>
      </c>
    </row>
    <row r="4" spans="1:16">
      <c r="A4" s="15">
        <v>2</v>
      </c>
      <c r="B4" s="16" t="s">
        <v>9</v>
      </c>
      <c r="C4" s="17">
        <v>91</v>
      </c>
      <c r="D4" s="18">
        <v>92</v>
      </c>
      <c r="E4" s="18">
        <v>89</v>
      </c>
      <c r="F4" s="18">
        <v>92</v>
      </c>
      <c r="G4" s="18">
        <v>86</v>
      </c>
      <c r="H4" s="18">
        <v>85</v>
      </c>
      <c r="I4" s="18">
        <v>90</v>
      </c>
      <c r="J4" s="13">
        <v>59</v>
      </c>
      <c r="K4" s="13">
        <v>38</v>
      </c>
      <c r="L4" s="13"/>
      <c r="M4" s="14"/>
      <c r="N4" s="8">
        <f t="shared" ref="N4:N18" si="1">SUM(C4:M4)</f>
        <v>722</v>
      </c>
      <c r="O4" s="16">
        <v>250</v>
      </c>
      <c r="P4" s="18">
        <f t="shared" si="0"/>
        <v>472</v>
      </c>
    </row>
    <row r="5" spans="1:16">
      <c r="A5" s="19">
        <v>3</v>
      </c>
      <c r="B5" s="16" t="s">
        <v>10</v>
      </c>
      <c r="C5" s="20">
        <v>94</v>
      </c>
      <c r="D5" s="13">
        <v>78</v>
      </c>
      <c r="E5" s="13">
        <v>71</v>
      </c>
      <c r="F5" s="13">
        <v>78</v>
      </c>
      <c r="G5" s="13">
        <v>77</v>
      </c>
      <c r="H5" s="13">
        <v>64</v>
      </c>
      <c r="I5" s="13">
        <v>77</v>
      </c>
      <c r="J5" s="13">
        <v>76</v>
      </c>
      <c r="K5" s="13">
        <v>90</v>
      </c>
      <c r="L5" s="13">
        <v>47</v>
      </c>
      <c r="M5" s="14"/>
      <c r="N5" s="8">
        <f t="shared" si="1"/>
        <v>752</v>
      </c>
      <c r="O5" s="16">
        <v>250</v>
      </c>
      <c r="P5" s="21">
        <f t="shared" si="0"/>
        <v>502</v>
      </c>
    </row>
    <row r="6" spans="1:16">
      <c r="A6" s="15">
        <v>4</v>
      </c>
      <c r="B6" s="16" t="s">
        <v>11</v>
      </c>
      <c r="C6" s="20">
        <v>69</v>
      </c>
      <c r="D6" s="18">
        <v>75</v>
      </c>
      <c r="E6" s="18">
        <v>72</v>
      </c>
      <c r="F6" s="18">
        <v>62</v>
      </c>
      <c r="G6" s="18">
        <v>75</v>
      </c>
      <c r="H6" s="18">
        <v>79</v>
      </c>
      <c r="I6" s="18">
        <v>70</v>
      </c>
      <c r="J6" s="18">
        <v>65</v>
      </c>
      <c r="K6" s="18"/>
      <c r="L6" s="18"/>
      <c r="M6" s="22"/>
      <c r="N6" s="8">
        <f t="shared" si="1"/>
        <v>567</v>
      </c>
      <c r="O6" s="16">
        <v>250</v>
      </c>
      <c r="P6" s="18">
        <f>N6-O6</f>
        <v>317</v>
      </c>
    </row>
    <row r="7" spans="1:16">
      <c r="A7" s="19">
        <v>5</v>
      </c>
      <c r="B7" s="16" t="s">
        <v>12</v>
      </c>
      <c r="C7" s="20">
        <v>81</v>
      </c>
      <c r="D7" s="18">
        <v>67</v>
      </c>
      <c r="E7" s="18">
        <v>80</v>
      </c>
      <c r="F7" s="18">
        <v>66</v>
      </c>
      <c r="G7" s="18">
        <v>57</v>
      </c>
      <c r="H7" s="18">
        <v>70</v>
      </c>
      <c r="I7" s="18">
        <v>67</v>
      </c>
      <c r="J7" s="18">
        <v>58</v>
      </c>
      <c r="K7" s="18">
        <v>73</v>
      </c>
      <c r="L7" s="18"/>
      <c r="M7" s="22"/>
      <c r="N7" s="8">
        <f t="shared" si="1"/>
        <v>619</v>
      </c>
      <c r="O7" s="16">
        <v>250</v>
      </c>
      <c r="P7" s="18">
        <f t="shared" si="0"/>
        <v>369</v>
      </c>
    </row>
    <row r="8" spans="1:16">
      <c r="A8" s="15">
        <v>6</v>
      </c>
      <c r="B8" s="16" t="s">
        <v>13</v>
      </c>
      <c r="C8" s="20">
        <v>75</v>
      </c>
      <c r="D8" s="18">
        <v>84</v>
      </c>
      <c r="E8" s="18">
        <v>70</v>
      </c>
      <c r="F8" s="18">
        <v>89</v>
      </c>
      <c r="G8" s="18">
        <v>75</v>
      </c>
      <c r="H8" s="18">
        <v>87</v>
      </c>
      <c r="I8" s="18">
        <v>79</v>
      </c>
      <c r="J8" s="18">
        <v>58</v>
      </c>
      <c r="K8" s="18">
        <v>34</v>
      </c>
      <c r="L8" s="18"/>
      <c r="M8" s="22"/>
      <c r="N8" s="8">
        <f t="shared" si="1"/>
        <v>651</v>
      </c>
      <c r="O8" s="16">
        <v>250</v>
      </c>
      <c r="P8" s="18">
        <f t="shared" si="0"/>
        <v>401</v>
      </c>
    </row>
    <row r="9" spans="1:16">
      <c r="A9" s="19">
        <v>7</v>
      </c>
      <c r="B9" s="16" t="s">
        <v>14</v>
      </c>
      <c r="C9" s="20"/>
      <c r="D9" s="18"/>
      <c r="E9" s="18"/>
      <c r="F9" s="18"/>
      <c r="G9" s="18"/>
      <c r="H9" s="18"/>
      <c r="I9" s="18"/>
      <c r="J9" s="18"/>
      <c r="K9" s="18"/>
      <c r="L9" s="18"/>
      <c r="M9" s="22"/>
      <c r="N9" s="8">
        <f t="shared" si="1"/>
        <v>0</v>
      </c>
      <c r="O9" s="16">
        <v>250</v>
      </c>
      <c r="P9" s="18">
        <f t="shared" si="0"/>
        <v>-250</v>
      </c>
    </row>
    <row r="10" spans="1:16">
      <c r="A10" s="15">
        <v>8</v>
      </c>
      <c r="B10" s="16" t="s">
        <v>15</v>
      </c>
      <c r="C10" s="20">
        <v>73</v>
      </c>
      <c r="D10" s="18">
        <v>72</v>
      </c>
      <c r="E10" s="18">
        <v>68</v>
      </c>
      <c r="F10" s="18">
        <v>76</v>
      </c>
      <c r="G10" s="18">
        <v>64</v>
      </c>
      <c r="H10" s="18">
        <v>76</v>
      </c>
      <c r="I10" s="18">
        <v>69</v>
      </c>
      <c r="J10" s="18">
        <v>68</v>
      </c>
      <c r="K10" s="18">
        <v>65</v>
      </c>
      <c r="L10" s="18">
        <v>16</v>
      </c>
      <c r="M10" s="22"/>
      <c r="N10" s="8">
        <f t="shared" si="1"/>
        <v>647</v>
      </c>
      <c r="O10" s="16">
        <v>250</v>
      </c>
      <c r="P10" s="18">
        <f t="shared" si="0"/>
        <v>397</v>
      </c>
    </row>
    <row r="11" spans="1:16">
      <c r="A11" s="19">
        <v>9</v>
      </c>
      <c r="B11" s="16" t="s">
        <v>16</v>
      </c>
      <c r="C11" s="20">
        <v>77</v>
      </c>
      <c r="D11" s="18">
        <v>67</v>
      </c>
      <c r="E11" s="18">
        <v>69</v>
      </c>
      <c r="F11" s="18">
        <v>80</v>
      </c>
      <c r="G11" s="18">
        <v>87</v>
      </c>
      <c r="H11" s="18">
        <v>78</v>
      </c>
      <c r="I11" s="18">
        <v>74</v>
      </c>
      <c r="J11" s="18"/>
      <c r="K11" s="18"/>
      <c r="L11" s="18"/>
      <c r="M11" s="22"/>
      <c r="N11" s="8">
        <f t="shared" si="1"/>
        <v>532</v>
      </c>
      <c r="O11" s="16">
        <v>250</v>
      </c>
      <c r="P11" s="18">
        <f t="shared" si="0"/>
        <v>282</v>
      </c>
    </row>
    <row r="12" spans="1:16">
      <c r="A12" s="15">
        <v>10</v>
      </c>
      <c r="B12" s="16" t="s">
        <v>17</v>
      </c>
      <c r="C12" s="20">
        <v>78</v>
      </c>
      <c r="D12" s="18">
        <v>74</v>
      </c>
      <c r="E12" s="18">
        <v>71</v>
      </c>
      <c r="F12" s="18">
        <v>75</v>
      </c>
      <c r="G12" s="18">
        <v>71</v>
      </c>
      <c r="H12" s="18">
        <v>78</v>
      </c>
      <c r="I12" s="18">
        <v>69</v>
      </c>
      <c r="J12" s="18">
        <v>58</v>
      </c>
      <c r="K12" s="18"/>
      <c r="L12" s="18"/>
      <c r="M12" s="22"/>
      <c r="N12" s="8">
        <f t="shared" si="1"/>
        <v>574</v>
      </c>
      <c r="O12" s="16">
        <v>250</v>
      </c>
      <c r="P12" s="18">
        <f t="shared" si="0"/>
        <v>324</v>
      </c>
    </row>
    <row r="13" spans="1:16">
      <c r="A13" s="19">
        <v>11</v>
      </c>
      <c r="B13" s="16" t="s">
        <v>18</v>
      </c>
      <c r="C13" s="23">
        <v>61</v>
      </c>
      <c r="D13" s="24">
        <v>68</v>
      </c>
      <c r="E13" s="24">
        <v>51</v>
      </c>
      <c r="F13" s="24">
        <v>62</v>
      </c>
      <c r="G13" s="24">
        <v>66</v>
      </c>
      <c r="H13" s="24">
        <v>64</v>
      </c>
      <c r="I13" s="24">
        <v>63</v>
      </c>
      <c r="J13" s="24">
        <v>59</v>
      </c>
      <c r="K13" s="24"/>
      <c r="L13" s="24"/>
      <c r="M13" s="25"/>
      <c r="N13" s="8">
        <f t="shared" si="1"/>
        <v>494</v>
      </c>
      <c r="O13" s="16">
        <v>250</v>
      </c>
      <c r="P13" s="18">
        <f t="shared" si="0"/>
        <v>244</v>
      </c>
    </row>
    <row r="14" spans="1:16">
      <c r="A14" s="15">
        <v>12</v>
      </c>
      <c r="B14" s="16" t="s">
        <v>19</v>
      </c>
      <c r="C14" s="20">
        <v>67</v>
      </c>
      <c r="D14" s="18">
        <v>45</v>
      </c>
      <c r="E14" s="18">
        <v>70</v>
      </c>
      <c r="F14" s="18">
        <v>75</v>
      </c>
      <c r="G14" s="18">
        <v>62</v>
      </c>
      <c r="H14" s="18">
        <v>59</v>
      </c>
      <c r="I14" s="18">
        <v>65</v>
      </c>
      <c r="J14" s="18">
        <v>69</v>
      </c>
      <c r="K14" s="18">
        <v>64</v>
      </c>
      <c r="L14" s="18"/>
      <c r="M14" s="22"/>
      <c r="N14" s="8">
        <f t="shared" si="1"/>
        <v>576</v>
      </c>
      <c r="O14" s="16">
        <v>250</v>
      </c>
      <c r="P14" s="18">
        <f t="shared" si="0"/>
        <v>326</v>
      </c>
    </row>
    <row r="15" spans="1:16">
      <c r="A15" s="19">
        <v>13</v>
      </c>
      <c r="B15" s="16" t="s">
        <v>20</v>
      </c>
      <c r="C15" s="20">
        <v>89</v>
      </c>
      <c r="D15" s="18">
        <v>92</v>
      </c>
      <c r="E15" s="18">
        <v>68</v>
      </c>
      <c r="F15" s="18">
        <v>80</v>
      </c>
      <c r="G15" s="18">
        <v>81</v>
      </c>
      <c r="H15" s="18">
        <v>80</v>
      </c>
      <c r="I15" s="18">
        <v>77</v>
      </c>
      <c r="J15" s="18">
        <v>76</v>
      </c>
      <c r="K15" s="18">
        <v>69</v>
      </c>
      <c r="L15" s="18">
        <v>74</v>
      </c>
      <c r="M15" s="22">
        <v>36</v>
      </c>
      <c r="N15" s="8">
        <f t="shared" si="1"/>
        <v>822</v>
      </c>
      <c r="O15" s="16">
        <v>250</v>
      </c>
      <c r="P15" s="18">
        <f t="shared" si="0"/>
        <v>572</v>
      </c>
    </row>
    <row r="16" spans="1:16">
      <c r="A16" s="15">
        <v>14</v>
      </c>
      <c r="B16" s="16" t="s">
        <v>21</v>
      </c>
      <c r="C16" s="20"/>
      <c r="D16" s="18"/>
      <c r="E16" s="18"/>
      <c r="F16" s="18"/>
      <c r="G16" s="18"/>
      <c r="H16" s="18"/>
      <c r="I16" s="18"/>
      <c r="J16" s="18"/>
      <c r="K16" s="18"/>
      <c r="L16" s="18"/>
      <c r="M16" s="22"/>
      <c r="N16" s="8">
        <f t="shared" si="1"/>
        <v>0</v>
      </c>
      <c r="O16" s="16">
        <v>250</v>
      </c>
      <c r="P16" s="21">
        <f t="shared" si="0"/>
        <v>-250</v>
      </c>
    </row>
    <row r="17" spans="1:16">
      <c r="A17" s="19">
        <v>15</v>
      </c>
      <c r="B17" s="16" t="s">
        <v>22</v>
      </c>
      <c r="C17" s="20">
        <v>90</v>
      </c>
      <c r="D17" s="18">
        <v>91</v>
      </c>
      <c r="E17" s="18">
        <v>87</v>
      </c>
      <c r="F17" s="18">
        <v>81</v>
      </c>
      <c r="G17" s="18">
        <v>73</v>
      </c>
      <c r="H17" s="18">
        <v>81</v>
      </c>
      <c r="I17" s="18">
        <v>81</v>
      </c>
      <c r="J17" s="18">
        <v>76</v>
      </c>
      <c r="K17" s="18">
        <v>28</v>
      </c>
      <c r="L17" s="18"/>
      <c r="M17" s="22"/>
      <c r="N17" s="8">
        <f t="shared" si="1"/>
        <v>688</v>
      </c>
      <c r="O17" s="16">
        <v>250</v>
      </c>
      <c r="P17" s="18">
        <f t="shared" si="0"/>
        <v>438</v>
      </c>
    </row>
    <row r="18" spans="1:16">
      <c r="A18" s="15">
        <v>16</v>
      </c>
      <c r="B18" s="16" t="s">
        <v>23</v>
      </c>
      <c r="C18" s="20">
        <v>81</v>
      </c>
      <c r="D18" s="18">
        <v>76</v>
      </c>
      <c r="E18" s="18">
        <v>68</v>
      </c>
      <c r="F18" s="18">
        <v>79</v>
      </c>
      <c r="G18" s="18">
        <v>75</v>
      </c>
      <c r="H18" s="18">
        <v>66</v>
      </c>
      <c r="I18" s="18">
        <v>76</v>
      </c>
      <c r="J18" s="18">
        <v>42</v>
      </c>
      <c r="K18" s="18"/>
      <c r="L18" s="18"/>
      <c r="M18" s="22"/>
      <c r="N18" s="8">
        <f t="shared" si="1"/>
        <v>563</v>
      </c>
      <c r="O18" s="16">
        <v>250</v>
      </c>
      <c r="P18" s="18">
        <f t="shared" si="0"/>
        <v>313</v>
      </c>
    </row>
    <row r="19" spans="1:16">
      <c r="A19" s="26"/>
      <c r="B19" s="27"/>
      <c r="C19" s="144" t="s">
        <v>24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29">
        <f>SUM(N3:N18)</f>
        <v>9173</v>
      </c>
      <c r="O19" s="30"/>
      <c r="P19" s="31"/>
    </row>
    <row r="20" spans="1:16">
      <c r="A20" s="8">
        <v>18</v>
      </c>
      <c r="B20" s="32" t="s">
        <v>25</v>
      </c>
      <c r="C20" s="33">
        <v>84</v>
      </c>
      <c r="D20" s="34">
        <v>85</v>
      </c>
      <c r="E20" s="34">
        <v>76</v>
      </c>
      <c r="F20" s="34">
        <v>72</v>
      </c>
      <c r="G20" s="34">
        <v>82</v>
      </c>
      <c r="H20" s="34">
        <v>82</v>
      </c>
      <c r="I20" s="34">
        <v>36</v>
      </c>
      <c r="J20" s="34"/>
      <c r="K20" s="35"/>
      <c r="L20" s="35"/>
      <c r="M20" s="36"/>
      <c r="N20" s="37">
        <f>SUM(C20:M20)</f>
        <v>517</v>
      </c>
      <c r="O20" s="9">
        <v>250</v>
      </c>
      <c r="P20" s="13">
        <f t="shared" si="0"/>
        <v>267</v>
      </c>
    </row>
    <row r="21" spans="1:16">
      <c r="A21" s="19">
        <v>20</v>
      </c>
      <c r="B21" s="38" t="s">
        <v>26</v>
      </c>
      <c r="C21" s="20">
        <v>77</v>
      </c>
      <c r="D21" s="18">
        <v>73</v>
      </c>
      <c r="E21" s="18">
        <v>76</v>
      </c>
      <c r="F21" s="18">
        <v>74</v>
      </c>
      <c r="G21" s="18">
        <v>77</v>
      </c>
      <c r="H21" s="18">
        <v>81</v>
      </c>
      <c r="I21" s="18">
        <v>61</v>
      </c>
      <c r="J21" s="18">
        <v>41</v>
      </c>
      <c r="K21" s="22"/>
      <c r="L21" s="22"/>
      <c r="M21" s="39"/>
      <c r="N21" s="37">
        <f t="shared" ref="N21:N32" si="2">SUM(C21:M21)</f>
        <v>560</v>
      </c>
      <c r="O21" s="16">
        <v>250</v>
      </c>
      <c r="P21" s="18">
        <f t="shared" si="0"/>
        <v>310</v>
      </c>
    </row>
    <row r="22" spans="1:16">
      <c r="A22" s="15">
        <v>21</v>
      </c>
      <c r="B22" s="38" t="s">
        <v>27</v>
      </c>
      <c r="C22" s="16">
        <v>73</v>
      </c>
      <c r="D22" s="18">
        <v>78</v>
      </c>
      <c r="E22" s="18">
        <v>79</v>
      </c>
      <c r="F22" s="18">
        <v>74</v>
      </c>
      <c r="G22" s="18">
        <v>78</v>
      </c>
      <c r="H22" s="18">
        <v>64</v>
      </c>
      <c r="I22" s="18">
        <v>70</v>
      </c>
      <c r="J22" s="18">
        <v>76</v>
      </c>
      <c r="K22" s="22">
        <v>39</v>
      </c>
      <c r="L22" s="22"/>
      <c r="M22" s="39"/>
      <c r="N22" s="37">
        <f t="shared" si="2"/>
        <v>631</v>
      </c>
      <c r="O22" s="16">
        <v>250</v>
      </c>
      <c r="P22" s="18">
        <f t="shared" si="0"/>
        <v>381</v>
      </c>
    </row>
    <row r="23" spans="1:16">
      <c r="A23" s="19">
        <v>22</v>
      </c>
      <c r="B23" s="38" t="s">
        <v>28</v>
      </c>
      <c r="C23" s="16">
        <v>81</v>
      </c>
      <c r="D23" s="18">
        <v>82</v>
      </c>
      <c r="E23" s="18">
        <v>72</v>
      </c>
      <c r="F23" s="18">
        <v>79</v>
      </c>
      <c r="G23" s="18">
        <v>80</v>
      </c>
      <c r="H23" s="18">
        <v>73</v>
      </c>
      <c r="I23" s="18">
        <v>67</v>
      </c>
      <c r="J23" s="18">
        <v>32</v>
      </c>
      <c r="K23" s="22"/>
      <c r="L23" s="22"/>
      <c r="M23" s="39"/>
      <c r="N23" s="37">
        <f t="shared" si="2"/>
        <v>566</v>
      </c>
      <c r="O23" s="16">
        <v>250</v>
      </c>
      <c r="P23" s="18">
        <f t="shared" si="0"/>
        <v>316</v>
      </c>
    </row>
    <row r="24" spans="1:16">
      <c r="A24" s="15">
        <v>23</v>
      </c>
      <c r="B24" s="38" t="s">
        <v>29</v>
      </c>
      <c r="C24" s="16"/>
      <c r="D24" s="18"/>
      <c r="E24" s="18"/>
      <c r="F24" s="18"/>
      <c r="G24" s="18"/>
      <c r="H24" s="18"/>
      <c r="I24" s="18"/>
      <c r="J24" s="18"/>
      <c r="K24" s="22"/>
      <c r="L24" s="22"/>
      <c r="M24" s="39"/>
      <c r="N24" s="37">
        <f t="shared" si="2"/>
        <v>0</v>
      </c>
      <c r="O24" s="16">
        <v>250</v>
      </c>
      <c r="P24" s="18">
        <f t="shared" si="0"/>
        <v>-250</v>
      </c>
    </row>
    <row r="25" spans="1:16">
      <c r="A25" s="19">
        <v>24</v>
      </c>
      <c r="B25" s="38" t="s">
        <v>30</v>
      </c>
      <c r="C25" s="16">
        <v>76</v>
      </c>
      <c r="D25" s="18">
        <v>69</v>
      </c>
      <c r="E25" s="18">
        <v>68</v>
      </c>
      <c r="F25" s="18">
        <v>70</v>
      </c>
      <c r="G25" s="18">
        <v>77</v>
      </c>
      <c r="H25" s="18"/>
      <c r="I25" s="18"/>
      <c r="J25" s="18"/>
      <c r="K25" s="22"/>
      <c r="L25" s="22"/>
      <c r="M25" s="39"/>
      <c r="N25" s="37">
        <f t="shared" si="2"/>
        <v>360</v>
      </c>
      <c r="O25" s="16">
        <v>250</v>
      </c>
      <c r="P25" s="21">
        <f t="shared" si="0"/>
        <v>110</v>
      </c>
    </row>
    <row r="26" spans="1:16">
      <c r="A26" s="15">
        <v>25</v>
      </c>
      <c r="B26" s="38" t="s">
        <v>31</v>
      </c>
      <c r="C26" s="16">
        <v>67</v>
      </c>
      <c r="D26" s="18">
        <v>77</v>
      </c>
      <c r="E26" s="18">
        <v>75</v>
      </c>
      <c r="F26" s="18">
        <v>79</v>
      </c>
      <c r="G26" s="18">
        <v>71</v>
      </c>
      <c r="H26" s="18">
        <v>73</v>
      </c>
      <c r="I26" s="18">
        <v>69</v>
      </c>
      <c r="J26" s="18">
        <v>67</v>
      </c>
      <c r="K26" s="22">
        <v>78</v>
      </c>
      <c r="L26" s="22">
        <v>38</v>
      </c>
      <c r="M26" s="39"/>
      <c r="N26" s="37">
        <f t="shared" si="2"/>
        <v>694</v>
      </c>
      <c r="O26" s="16">
        <v>250</v>
      </c>
      <c r="P26" s="18">
        <f t="shared" si="0"/>
        <v>444</v>
      </c>
    </row>
    <row r="27" spans="1:16">
      <c r="A27" s="19">
        <v>26</v>
      </c>
      <c r="B27" s="38" t="s">
        <v>32</v>
      </c>
      <c r="C27" s="16">
        <v>72</v>
      </c>
      <c r="D27" s="18">
        <v>83</v>
      </c>
      <c r="E27" s="18">
        <v>88</v>
      </c>
      <c r="F27" s="18">
        <v>75</v>
      </c>
      <c r="G27" s="18">
        <v>72</v>
      </c>
      <c r="H27" s="18">
        <v>84</v>
      </c>
      <c r="I27" s="18">
        <v>78</v>
      </c>
      <c r="J27" s="18">
        <v>64</v>
      </c>
      <c r="K27" s="22">
        <v>42</v>
      </c>
      <c r="L27" s="22"/>
      <c r="M27" s="39"/>
      <c r="N27" s="37">
        <f t="shared" si="2"/>
        <v>658</v>
      </c>
      <c r="O27" s="16">
        <v>250</v>
      </c>
      <c r="P27" s="21">
        <f t="shared" si="0"/>
        <v>408</v>
      </c>
    </row>
    <row r="28" spans="1:16">
      <c r="A28" s="15">
        <v>27</v>
      </c>
      <c r="B28" s="38" t="s">
        <v>33</v>
      </c>
      <c r="C28" s="16">
        <v>77</v>
      </c>
      <c r="D28" s="18">
        <v>78</v>
      </c>
      <c r="E28" s="18">
        <v>80</v>
      </c>
      <c r="F28" s="18">
        <v>80</v>
      </c>
      <c r="G28" s="18">
        <v>82</v>
      </c>
      <c r="H28" s="18">
        <v>85</v>
      </c>
      <c r="I28" s="18">
        <v>89</v>
      </c>
      <c r="J28" s="18">
        <v>83</v>
      </c>
      <c r="K28" s="22">
        <v>21</v>
      </c>
      <c r="L28" s="22"/>
      <c r="M28" s="39"/>
      <c r="N28" s="37">
        <f t="shared" si="2"/>
        <v>675</v>
      </c>
      <c r="O28" s="16">
        <v>250</v>
      </c>
      <c r="P28" s="18">
        <f t="shared" si="0"/>
        <v>425</v>
      </c>
    </row>
    <row r="29" spans="1:16">
      <c r="A29" s="19">
        <v>28</v>
      </c>
      <c r="B29" s="38" t="s">
        <v>34</v>
      </c>
      <c r="C29" s="16">
        <v>65</v>
      </c>
      <c r="D29" s="18">
        <v>70</v>
      </c>
      <c r="E29" s="18">
        <v>76</v>
      </c>
      <c r="F29" s="18">
        <v>64</v>
      </c>
      <c r="G29" s="18">
        <v>65</v>
      </c>
      <c r="H29" s="18">
        <v>61</v>
      </c>
      <c r="I29" s="18">
        <v>68</v>
      </c>
      <c r="J29" s="18">
        <v>72</v>
      </c>
      <c r="K29" s="22"/>
      <c r="L29" s="22"/>
      <c r="M29" s="39"/>
      <c r="N29" s="37">
        <f t="shared" si="2"/>
        <v>541</v>
      </c>
      <c r="O29" s="16">
        <v>250</v>
      </c>
      <c r="P29" s="21">
        <f t="shared" si="0"/>
        <v>291</v>
      </c>
    </row>
    <row r="30" spans="1:16">
      <c r="A30" s="15">
        <v>29</v>
      </c>
      <c r="B30" s="40" t="s">
        <v>35</v>
      </c>
      <c r="C30" s="41">
        <v>78</v>
      </c>
      <c r="D30" s="24">
        <v>75</v>
      </c>
      <c r="E30" s="24">
        <v>77</v>
      </c>
      <c r="F30" s="24">
        <v>70</v>
      </c>
      <c r="G30" s="24">
        <v>68</v>
      </c>
      <c r="H30" s="24">
        <v>76</v>
      </c>
      <c r="I30" s="24">
        <v>38</v>
      </c>
      <c r="J30" s="24"/>
      <c r="K30" s="25"/>
      <c r="L30" s="25"/>
      <c r="M30" s="42"/>
      <c r="N30" s="37">
        <f t="shared" si="2"/>
        <v>482</v>
      </c>
      <c r="O30" s="41">
        <v>250</v>
      </c>
      <c r="P30" s="24">
        <f t="shared" si="0"/>
        <v>232</v>
      </c>
    </row>
    <row r="31" spans="1:16">
      <c r="A31" s="19">
        <v>30</v>
      </c>
      <c r="B31" s="38" t="s">
        <v>36</v>
      </c>
      <c r="C31" s="16">
        <v>87</v>
      </c>
      <c r="D31" s="18">
        <v>82</v>
      </c>
      <c r="E31" s="18">
        <v>76</v>
      </c>
      <c r="F31" s="18">
        <v>66</v>
      </c>
      <c r="G31" s="18">
        <v>71</v>
      </c>
      <c r="H31" s="18">
        <v>65</v>
      </c>
      <c r="I31" s="18">
        <v>75</v>
      </c>
      <c r="J31" s="18">
        <v>65</v>
      </c>
      <c r="K31" s="22">
        <v>27</v>
      </c>
      <c r="L31" s="22"/>
      <c r="M31" s="39"/>
      <c r="N31" s="37">
        <f t="shared" si="2"/>
        <v>614</v>
      </c>
      <c r="O31" s="16">
        <v>250</v>
      </c>
      <c r="P31" s="18">
        <f t="shared" si="0"/>
        <v>364</v>
      </c>
    </row>
    <row r="32" spans="1:16">
      <c r="A32" s="15">
        <v>31</v>
      </c>
      <c r="B32" s="40" t="s">
        <v>37</v>
      </c>
      <c r="C32" s="41"/>
      <c r="D32" s="24"/>
      <c r="E32" s="24"/>
      <c r="F32" s="24"/>
      <c r="G32" s="24"/>
      <c r="H32" s="24"/>
      <c r="I32" s="24"/>
      <c r="J32" s="24"/>
      <c r="K32" s="25"/>
      <c r="L32" s="25"/>
      <c r="M32" s="25"/>
      <c r="N32" s="37">
        <f t="shared" si="2"/>
        <v>0</v>
      </c>
      <c r="O32" s="41">
        <v>250</v>
      </c>
      <c r="P32" s="24">
        <f t="shared" si="0"/>
        <v>-250</v>
      </c>
    </row>
    <row r="33" spans="1:16">
      <c r="A33" s="26"/>
      <c r="B33" s="43"/>
      <c r="C33" s="145" t="s">
        <v>24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44">
        <f>SUM(N20:N32)</f>
        <v>6298</v>
      </c>
      <c r="O33" s="30"/>
      <c r="P33" s="31"/>
    </row>
    <row r="34" spans="1:16">
      <c r="A34" s="45">
        <v>32</v>
      </c>
      <c r="B34" s="45" t="s">
        <v>38</v>
      </c>
      <c r="C34" s="46"/>
      <c r="D34" s="47"/>
      <c r="E34" s="47"/>
      <c r="F34" s="47"/>
      <c r="G34" s="47"/>
      <c r="H34" s="47"/>
      <c r="I34" s="47"/>
      <c r="J34" s="47"/>
      <c r="K34" s="47"/>
      <c r="L34" s="47"/>
      <c r="M34" s="48"/>
      <c r="N34" s="8">
        <f>SUM(C34:M34)</f>
        <v>0</v>
      </c>
      <c r="O34" s="16">
        <v>250</v>
      </c>
      <c r="P34" s="21">
        <f t="shared" ref="P34:P38" si="3">N34-O34</f>
        <v>-250</v>
      </c>
    </row>
    <row r="35" spans="1:16">
      <c r="A35" s="17">
        <v>33</v>
      </c>
      <c r="B35" s="17" t="s">
        <v>39</v>
      </c>
      <c r="C35" s="49"/>
      <c r="D35" s="50"/>
      <c r="E35" s="50"/>
      <c r="F35" s="50"/>
      <c r="G35" s="50"/>
      <c r="H35" s="50"/>
      <c r="I35" s="50"/>
      <c r="J35" s="50"/>
      <c r="K35" s="50"/>
      <c r="L35" s="50"/>
      <c r="M35" s="51"/>
      <c r="N35" s="8">
        <f t="shared" ref="N35:N38" si="4">SUM(C35:M35)</f>
        <v>0</v>
      </c>
      <c r="O35" s="16">
        <v>250</v>
      </c>
      <c r="P35" s="18">
        <f t="shared" si="3"/>
        <v>-250</v>
      </c>
    </row>
    <row r="36" spans="1:16">
      <c r="A36" s="17">
        <v>34</v>
      </c>
      <c r="B36" s="17" t="s">
        <v>41</v>
      </c>
      <c r="C36" s="49">
        <v>54</v>
      </c>
      <c r="D36" s="50">
        <v>58</v>
      </c>
      <c r="E36" s="50">
        <v>60</v>
      </c>
      <c r="F36" s="50">
        <v>53</v>
      </c>
      <c r="G36" s="50">
        <v>70</v>
      </c>
      <c r="H36" s="50">
        <v>56</v>
      </c>
      <c r="I36" s="50">
        <v>43</v>
      </c>
      <c r="J36" s="50"/>
      <c r="K36" s="50"/>
      <c r="L36" s="50"/>
      <c r="M36" s="51"/>
      <c r="N36" s="8">
        <f t="shared" si="4"/>
        <v>394</v>
      </c>
      <c r="O36" s="16">
        <v>250</v>
      </c>
      <c r="P36" s="21">
        <f t="shared" si="3"/>
        <v>144</v>
      </c>
    </row>
    <row r="37" spans="1:16">
      <c r="A37" s="52">
        <v>35</v>
      </c>
      <c r="B37" s="52" t="s">
        <v>42</v>
      </c>
      <c r="C37" s="49">
        <v>73</v>
      </c>
      <c r="D37" s="50">
        <v>70</v>
      </c>
      <c r="E37" s="50">
        <v>74</v>
      </c>
      <c r="F37" s="50">
        <v>70</v>
      </c>
      <c r="G37" s="50">
        <v>82</v>
      </c>
      <c r="H37" s="50">
        <v>36</v>
      </c>
      <c r="I37" s="50"/>
      <c r="J37" s="50"/>
      <c r="K37" s="50"/>
      <c r="L37" s="50"/>
      <c r="M37" s="51"/>
      <c r="N37" s="8">
        <f t="shared" si="4"/>
        <v>405</v>
      </c>
      <c r="O37" s="16">
        <v>250</v>
      </c>
      <c r="P37" s="18">
        <f t="shared" si="3"/>
        <v>155</v>
      </c>
    </row>
    <row r="38" spans="1:16">
      <c r="A38" s="52">
        <v>36</v>
      </c>
      <c r="B38" s="52" t="s">
        <v>43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5"/>
      <c r="N38" s="8">
        <f t="shared" si="4"/>
        <v>0</v>
      </c>
      <c r="O38" s="41">
        <v>250</v>
      </c>
      <c r="P38" s="56">
        <f t="shared" si="3"/>
        <v>-250</v>
      </c>
    </row>
    <row r="39" spans="1:16">
      <c r="A39" s="57"/>
      <c r="B39" s="58"/>
      <c r="C39" s="143" t="s">
        <v>24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29">
        <f>SUM(N37,N36,N34)</f>
        <v>799</v>
      </c>
      <c r="O39" s="59"/>
      <c r="P39" s="60"/>
    </row>
    <row r="40" spans="1:16">
      <c r="A40" s="8">
        <v>37</v>
      </c>
      <c r="B40" s="61" t="s">
        <v>44</v>
      </c>
      <c r="C40" s="62"/>
      <c r="D40" s="63"/>
      <c r="E40" s="63"/>
      <c r="F40" s="63"/>
      <c r="G40" s="63"/>
      <c r="H40" s="63"/>
      <c r="I40" s="63"/>
      <c r="J40" s="63"/>
      <c r="K40" s="63"/>
      <c r="L40" s="63"/>
      <c r="M40" s="64"/>
      <c r="N40" s="8">
        <f>SUM(C40:M40)</f>
        <v>0</v>
      </c>
      <c r="O40" s="16">
        <v>250</v>
      </c>
      <c r="P40" s="21">
        <v>-250</v>
      </c>
    </row>
    <row r="41" spans="1:16">
      <c r="A41" s="15">
        <v>38</v>
      </c>
      <c r="B41" s="65" t="s">
        <v>45</v>
      </c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8"/>
      <c r="N41" s="8">
        <f>SUM(C41:M41)</f>
        <v>0</v>
      </c>
      <c r="O41" s="16">
        <v>250</v>
      </c>
      <c r="P41" s="18">
        <f t="shared" ref="P41" si="5">N41-O41</f>
        <v>-250</v>
      </c>
    </row>
    <row r="42" spans="1:16">
      <c r="A42" s="71"/>
      <c r="B42" s="30"/>
      <c r="C42" s="143" t="s">
        <v>24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8"/>
      <c r="N42" s="72">
        <f>SUM(N40:N41)</f>
        <v>0</v>
      </c>
      <c r="O42" s="73"/>
      <c r="P42" s="74"/>
    </row>
    <row r="43" spans="1:16">
      <c r="A43" s="75"/>
      <c r="B43" s="76" t="s">
        <v>46</v>
      </c>
      <c r="C43" s="77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80">
        <f>N42+N39+N33+N19</f>
        <v>16270</v>
      </c>
      <c r="O43" s="81"/>
      <c r="P43" s="79"/>
    </row>
  </sheetData>
  <mergeCells count="5">
    <mergeCell ref="C2:M2"/>
    <mergeCell ref="C19:M19"/>
    <mergeCell ref="C33:M33"/>
    <mergeCell ref="C39:M39"/>
    <mergeCell ref="C42:M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C8FC-5F92-4E06-BCFF-EA8D0908A5CD}">
  <dimension ref="A1:P43"/>
  <sheetViews>
    <sheetView topLeftCell="A30" workbookViewId="0">
      <selection activeCell="P45" sqref="P45"/>
    </sheetView>
  </sheetViews>
  <sheetFormatPr defaultRowHeight="15"/>
  <cols>
    <col min="2" max="2" width="20.85546875" customWidth="1"/>
    <col min="3" max="3" width="4.140625" customWidth="1"/>
    <col min="4" max="4" width="4.28515625" customWidth="1"/>
    <col min="5" max="5" width="4.140625" customWidth="1"/>
    <col min="6" max="6" width="3.85546875" customWidth="1"/>
    <col min="7" max="7" width="3.42578125" customWidth="1"/>
    <col min="8" max="8" width="3.140625" customWidth="1"/>
    <col min="9" max="9" width="4.140625" customWidth="1"/>
    <col min="10" max="10" width="3.28515625" customWidth="1"/>
    <col min="11" max="11" width="3.140625" customWidth="1"/>
    <col min="12" max="12" width="4.42578125" customWidth="1"/>
  </cols>
  <sheetData>
    <row r="1" spans="1:16" ht="15.75">
      <c r="A1" s="1"/>
      <c r="B1" s="2" t="s">
        <v>49</v>
      </c>
      <c r="L1">
        <v>62</v>
      </c>
      <c r="N1" s="3" t="s">
        <v>52</v>
      </c>
    </row>
    <row r="2" spans="1:16">
      <c r="A2" s="3" t="s">
        <v>2</v>
      </c>
      <c r="B2" s="4" t="s">
        <v>3</v>
      </c>
      <c r="C2" s="143" t="s">
        <v>4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3" t="s">
        <v>5</v>
      </c>
      <c r="O2" s="6" t="s">
        <v>6</v>
      </c>
      <c r="P2" s="7" t="s">
        <v>7</v>
      </c>
    </row>
    <row r="3" spans="1:16">
      <c r="A3" s="8">
        <v>1</v>
      </c>
      <c r="B3" s="9" t="s">
        <v>8</v>
      </c>
      <c r="C3" s="10">
        <v>98</v>
      </c>
      <c r="D3" s="11">
        <v>87</v>
      </c>
      <c r="E3" s="11">
        <v>96</v>
      </c>
      <c r="F3" s="11">
        <v>87</v>
      </c>
      <c r="G3" s="11">
        <v>96</v>
      </c>
      <c r="H3" s="11">
        <v>95</v>
      </c>
      <c r="I3" s="12">
        <v>102</v>
      </c>
      <c r="J3" s="13">
        <v>79</v>
      </c>
      <c r="K3" s="13">
        <v>90</v>
      </c>
      <c r="L3" s="13">
        <v>116</v>
      </c>
      <c r="M3" s="14"/>
      <c r="N3" s="8">
        <f>SUM(C3:M3)</f>
        <v>946</v>
      </c>
      <c r="O3" s="9">
        <v>250</v>
      </c>
      <c r="P3" s="18">
        <f t="shared" ref="P3:P33" si="0">N3-O3</f>
        <v>696</v>
      </c>
    </row>
    <row r="4" spans="1:16">
      <c r="A4" s="15">
        <v>2</v>
      </c>
      <c r="B4" s="16" t="s">
        <v>9</v>
      </c>
      <c r="C4" s="17">
        <v>84</v>
      </c>
      <c r="D4" s="18">
        <v>88</v>
      </c>
      <c r="E4" s="18">
        <v>95</v>
      </c>
      <c r="F4" s="18">
        <v>87</v>
      </c>
      <c r="G4" s="18">
        <v>93</v>
      </c>
      <c r="H4" s="18">
        <v>97</v>
      </c>
      <c r="I4" s="18">
        <v>96</v>
      </c>
      <c r="J4" s="13">
        <v>68</v>
      </c>
      <c r="K4" s="13">
        <v>68</v>
      </c>
      <c r="L4" s="13">
        <v>33</v>
      </c>
      <c r="M4" s="14"/>
      <c r="N4" s="8">
        <f t="shared" ref="N4:N18" si="1">SUM(C4:M4)</f>
        <v>809</v>
      </c>
      <c r="O4" s="16">
        <v>250</v>
      </c>
      <c r="P4" s="18">
        <f t="shared" si="0"/>
        <v>559</v>
      </c>
    </row>
    <row r="5" spans="1:16">
      <c r="A5" s="19">
        <v>3</v>
      </c>
      <c r="B5" s="16" t="s">
        <v>10</v>
      </c>
      <c r="C5" s="20">
        <v>85</v>
      </c>
      <c r="D5" s="13">
        <v>80</v>
      </c>
      <c r="E5" s="13">
        <v>84</v>
      </c>
      <c r="F5" s="13">
        <v>69</v>
      </c>
      <c r="G5" s="13">
        <v>79</v>
      </c>
      <c r="H5" s="13">
        <v>73</v>
      </c>
      <c r="I5" s="13">
        <v>70</v>
      </c>
      <c r="J5" s="13">
        <v>80</v>
      </c>
      <c r="K5" s="13">
        <v>67</v>
      </c>
      <c r="L5" s="13">
        <v>93</v>
      </c>
      <c r="M5" s="14">
        <v>35</v>
      </c>
      <c r="N5" s="8">
        <f t="shared" si="1"/>
        <v>815</v>
      </c>
      <c r="O5" s="16">
        <v>250</v>
      </c>
      <c r="P5" s="21">
        <f t="shared" si="0"/>
        <v>565</v>
      </c>
    </row>
    <row r="6" spans="1:16">
      <c r="A6" s="15">
        <v>4</v>
      </c>
      <c r="B6" s="16" t="s">
        <v>11</v>
      </c>
      <c r="C6" s="20">
        <v>65</v>
      </c>
      <c r="D6" s="18">
        <v>67</v>
      </c>
      <c r="E6" s="18">
        <v>69</v>
      </c>
      <c r="F6" s="18">
        <v>74</v>
      </c>
      <c r="G6" s="18">
        <v>67</v>
      </c>
      <c r="H6" s="18">
        <v>71</v>
      </c>
      <c r="I6" s="18">
        <v>70</v>
      </c>
      <c r="J6" s="18">
        <v>73</v>
      </c>
      <c r="K6" s="18"/>
      <c r="L6" s="18"/>
      <c r="M6" s="22"/>
      <c r="N6" s="8">
        <f t="shared" si="1"/>
        <v>556</v>
      </c>
      <c r="O6" s="16">
        <v>250</v>
      </c>
      <c r="P6" s="18">
        <f>N6-O6</f>
        <v>306</v>
      </c>
    </row>
    <row r="7" spans="1:16">
      <c r="A7" s="19">
        <v>5</v>
      </c>
      <c r="B7" s="16" t="s">
        <v>12</v>
      </c>
      <c r="C7" s="20"/>
      <c r="D7" s="18"/>
      <c r="E7" s="18"/>
      <c r="F7" s="18"/>
      <c r="G7" s="18"/>
      <c r="H7" s="18"/>
      <c r="I7" s="18"/>
      <c r="J7" s="18"/>
      <c r="K7" s="18"/>
      <c r="L7" s="18"/>
      <c r="M7" s="22"/>
      <c r="N7" s="8">
        <f t="shared" si="1"/>
        <v>0</v>
      </c>
      <c r="O7" s="16">
        <v>250</v>
      </c>
      <c r="P7" s="18">
        <f t="shared" si="0"/>
        <v>-250</v>
      </c>
    </row>
    <row r="8" spans="1:16">
      <c r="A8" s="15">
        <v>6</v>
      </c>
      <c r="B8" s="16" t="s">
        <v>13</v>
      </c>
      <c r="C8" s="20">
        <v>79</v>
      </c>
      <c r="D8" s="18">
        <v>75</v>
      </c>
      <c r="E8" s="18">
        <v>82</v>
      </c>
      <c r="F8" s="18">
        <v>74</v>
      </c>
      <c r="G8" s="18">
        <v>72</v>
      </c>
      <c r="H8" s="18">
        <v>78</v>
      </c>
      <c r="I8" s="18">
        <v>82</v>
      </c>
      <c r="J8" s="18">
        <v>68</v>
      </c>
      <c r="K8" s="18">
        <v>57</v>
      </c>
      <c r="L8" s="18">
        <v>35</v>
      </c>
      <c r="M8" s="22"/>
      <c r="N8" s="8">
        <f t="shared" si="1"/>
        <v>702</v>
      </c>
      <c r="O8" s="16">
        <v>250</v>
      </c>
      <c r="P8" s="18">
        <f t="shared" si="0"/>
        <v>452</v>
      </c>
    </row>
    <row r="9" spans="1:16">
      <c r="A9" s="19">
        <v>7</v>
      </c>
      <c r="B9" s="16" t="s">
        <v>14</v>
      </c>
      <c r="C9" s="20"/>
      <c r="D9" s="18"/>
      <c r="E9" s="18"/>
      <c r="F9" s="18"/>
      <c r="G9" s="18"/>
      <c r="H9" s="18"/>
      <c r="I9" s="18"/>
      <c r="J9" s="18"/>
      <c r="K9" s="18"/>
      <c r="L9" s="18"/>
      <c r="M9" s="22"/>
      <c r="N9" s="8">
        <f t="shared" si="1"/>
        <v>0</v>
      </c>
      <c r="O9" s="16">
        <v>250</v>
      </c>
      <c r="P9" s="18">
        <f t="shared" si="0"/>
        <v>-250</v>
      </c>
    </row>
    <row r="10" spans="1:16">
      <c r="A10" s="15">
        <v>8</v>
      </c>
      <c r="B10" s="16" t="s">
        <v>15</v>
      </c>
      <c r="C10" s="20">
        <v>94</v>
      </c>
      <c r="D10" s="18">
        <v>100</v>
      </c>
      <c r="E10" s="18">
        <v>97</v>
      </c>
      <c r="F10" s="18">
        <v>93</v>
      </c>
      <c r="G10" s="18">
        <v>62</v>
      </c>
      <c r="H10" s="18">
        <v>71</v>
      </c>
      <c r="I10" s="18">
        <v>98</v>
      </c>
      <c r="J10" s="18">
        <v>49</v>
      </c>
      <c r="K10" s="18"/>
      <c r="L10" s="18"/>
      <c r="M10" s="22"/>
      <c r="N10" s="8">
        <f t="shared" si="1"/>
        <v>664</v>
      </c>
      <c r="O10" s="16">
        <v>250</v>
      </c>
      <c r="P10" s="18">
        <f t="shared" si="0"/>
        <v>414</v>
      </c>
    </row>
    <row r="11" spans="1:16">
      <c r="A11" s="19">
        <v>9</v>
      </c>
      <c r="B11" s="16" t="s">
        <v>16</v>
      </c>
      <c r="C11" s="20">
        <v>75</v>
      </c>
      <c r="D11" s="18">
        <v>78</v>
      </c>
      <c r="E11" s="18">
        <v>77</v>
      </c>
      <c r="F11" s="18">
        <v>77</v>
      </c>
      <c r="G11" s="18">
        <v>68</v>
      </c>
      <c r="H11" s="18">
        <v>81</v>
      </c>
      <c r="I11" s="18">
        <v>63</v>
      </c>
      <c r="J11" s="18"/>
      <c r="K11" s="18"/>
      <c r="L11" s="18"/>
      <c r="M11" s="22"/>
      <c r="N11" s="8">
        <f t="shared" si="1"/>
        <v>519</v>
      </c>
      <c r="O11" s="16">
        <v>250</v>
      </c>
      <c r="P11" s="18">
        <f t="shared" si="0"/>
        <v>269</v>
      </c>
    </row>
    <row r="12" spans="1:16">
      <c r="A12" s="15">
        <v>10</v>
      </c>
      <c r="B12" s="16" t="s">
        <v>17</v>
      </c>
      <c r="C12" s="20">
        <v>80</v>
      </c>
      <c r="D12" s="18">
        <v>79</v>
      </c>
      <c r="E12" s="18">
        <v>74</v>
      </c>
      <c r="F12" s="18">
        <v>76</v>
      </c>
      <c r="G12" s="18">
        <v>80</v>
      </c>
      <c r="H12" s="18">
        <v>70</v>
      </c>
      <c r="I12" s="18">
        <v>67</v>
      </c>
      <c r="J12" s="18">
        <v>36</v>
      </c>
      <c r="K12" s="18"/>
      <c r="L12" s="18"/>
      <c r="M12" s="22"/>
      <c r="N12" s="8">
        <f t="shared" si="1"/>
        <v>562</v>
      </c>
      <c r="O12" s="16">
        <v>250</v>
      </c>
      <c r="P12" s="18">
        <f t="shared" si="0"/>
        <v>312</v>
      </c>
    </row>
    <row r="13" spans="1:16">
      <c r="A13" s="19">
        <v>11</v>
      </c>
      <c r="B13" s="16" t="s">
        <v>18</v>
      </c>
      <c r="C13" s="23">
        <v>59</v>
      </c>
      <c r="D13" s="24">
        <v>60</v>
      </c>
      <c r="E13" s="24">
        <v>58</v>
      </c>
      <c r="F13" s="24">
        <v>68</v>
      </c>
      <c r="G13" s="24">
        <v>73</v>
      </c>
      <c r="H13" s="24">
        <v>59</v>
      </c>
      <c r="I13" s="24">
        <v>61</v>
      </c>
      <c r="J13" s="24">
        <v>62</v>
      </c>
      <c r="K13" s="24">
        <v>67</v>
      </c>
      <c r="L13" s="24"/>
      <c r="M13" s="25"/>
      <c r="N13" s="8">
        <f t="shared" si="1"/>
        <v>567</v>
      </c>
      <c r="O13" s="16">
        <v>250</v>
      </c>
      <c r="P13" s="18">
        <f t="shared" si="0"/>
        <v>317</v>
      </c>
    </row>
    <row r="14" spans="1:16">
      <c r="A14" s="15">
        <v>12</v>
      </c>
      <c r="B14" s="16" t="s">
        <v>19</v>
      </c>
      <c r="C14" s="20">
        <v>59</v>
      </c>
      <c r="D14" s="18">
        <v>61</v>
      </c>
      <c r="E14" s="18">
        <v>65</v>
      </c>
      <c r="F14" s="18">
        <v>68</v>
      </c>
      <c r="G14" s="18">
        <v>59</v>
      </c>
      <c r="H14" s="18">
        <v>64</v>
      </c>
      <c r="I14" s="18">
        <v>61</v>
      </c>
      <c r="J14" s="18">
        <v>65</v>
      </c>
      <c r="K14" s="18">
        <v>61</v>
      </c>
      <c r="L14" s="18"/>
      <c r="M14" s="22"/>
      <c r="N14" s="8">
        <f t="shared" si="1"/>
        <v>563</v>
      </c>
      <c r="O14" s="16">
        <v>250</v>
      </c>
      <c r="P14" s="18">
        <f t="shared" si="0"/>
        <v>313</v>
      </c>
    </row>
    <row r="15" spans="1:16">
      <c r="A15" s="19">
        <v>13</v>
      </c>
      <c r="B15" s="16" t="s">
        <v>20</v>
      </c>
      <c r="C15" s="20">
        <v>126</v>
      </c>
      <c r="D15" s="18">
        <v>134</v>
      </c>
      <c r="E15" s="18">
        <v>122</v>
      </c>
      <c r="F15" s="18">
        <v>124</v>
      </c>
      <c r="G15" s="18">
        <v>78</v>
      </c>
      <c r="H15" s="18">
        <v>89</v>
      </c>
      <c r="I15" s="18">
        <v>87</v>
      </c>
      <c r="J15" s="18">
        <v>86</v>
      </c>
      <c r="K15" s="18">
        <v>61</v>
      </c>
      <c r="L15" s="18"/>
      <c r="M15" s="22"/>
      <c r="N15" s="8">
        <f t="shared" si="1"/>
        <v>907</v>
      </c>
      <c r="O15" s="16">
        <v>250</v>
      </c>
      <c r="P15" s="18">
        <f t="shared" si="0"/>
        <v>657</v>
      </c>
    </row>
    <row r="16" spans="1:16">
      <c r="A16" s="15">
        <v>14</v>
      </c>
      <c r="B16" s="16" t="s">
        <v>21</v>
      </c>
      <c r="C16" s="20"/>
      <c r="D16" s="18"/>
      <c r="E16" s="18"/>
      <c r="F16" s="18"/>
      <c r="G16" s="18"/>
      <c r="H16" s="18"/>
      <c r="I16" s="18"/>
      <c r="J16" s="18"/>
      <c r="K16" s="18"/>
      <c r="L16" s="18"/>
      <c r="M16" s="22"/>
      <c r="N16" s="8">
        <f t="shared" si="1"/>
        <v>0</v>
      </c>
      <c r="O16" s="16">
        <v>250</v>
      </c>
      <c r="P16" s="21">
        <f t="shared" si="0"/>
        <v>-250</v>
      </c>
    </row>
    <row r="17" spans="1:16">
      <c r="A17" s="19">
        <v>15</v>
      </c>
      <c r="B17" s="16" t="s">
        <v>22</v>
      </c>
      <c r="C17" s="20">
        <v>88</v>
      </c>
      <c r="D17" s="18">
        <v>97</v>
      </c>
      <c r="E17" s="18">
        <v>99</v>
      </c>
      <c r="F17" s="18">
        <v>96</v>
      </c>
      <c r="G17" s="18">
        <v>83</v>
      </c>
      <c r="H17" s="18">
        <v>83</v>
      </c>
      <c r="I17" s="18">
        <v>87</v>
      </c>
      <c r="J17" s="18">
        <v>83</v>
      </c>
      <c r="K17" s="18">
        <v>89</v>
      </c>
      <c r="L17" s="18"/>
      <c r="M17" s="22"/>
      <c r="N17" s="8">
        <f t="shared" si="1"/>
        <v>805</v>
      </c>
      <c r="O17" s="16">
        <v>250</v>
      </c>
      <c r="P17" s="18">
        <f t="shared" si="0"/>
        <v>555</v>
      </c>
    </row>
    <row r="18" spans="1:16">
      <c r="A18" s="15">
        <v>16</v>
      </c>
      <c r="B18" s="16" t="s">
        <v>23</v>
      </c>
      <c r="C18" s="20">
        <v>71</v>
      </c>
      <c r="D18" s="18">
        <v>65</v>
      </c>
      <c r="E18" s="18">
        <v>70</v>
      </c>
      <c r="F18" s="18">
        <v>72</v>
      </c>
      <c r="G18" s="18">
        <v>69</v>
      </c>
      <c r="H18" s="18">
        <v>34</v>
      </c>
      <c r="I18" s="18"/>
      <c r="J18" s="18"/>
      <c r="K18" s="18"/>
      <c r="L18" s="18"/>
      <c r="M18" s="22"/>
      <c r="N18" s="8">
        <f t="shared" si="1"/>
        <v>381</v>
      </c>
      <c r="O18" s="16">
        <v>250</v>
      </c>
      <c r="P18" s="18">
        <f t="shared" si="0"/>
        <v>131</v>
      </c>
    </row>
    <row r="19" spans="1:16">
      <c r="A19" s="26"/>
      <c r="B19" s="27"/>
      <c r="C19" s="144" t="s">
        <v>24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29">
        <f>SUM(N3:N18)</f>
        <v>8796</v>
      </c>
      <c r="O19" s="30"/>
      <c r="P19" s="31"/>
    </row>
    <row r="20" spans="1:16">
      <c r="A20" s="8">
        <v>18</v>
      </c>
      <c r="B20" s="32" t="s">
        <v>25</v>
      </c>
      <c r="C20" s="33">
        <v>72</v>
      </c>
      <c r="D20" s="34">
        <v>71</v>
      </c>
      <c r="E20" s="34">
        <v>69</v>
      </c>
      <c r="F20" s="34">
        <v>73</v>
      </c>
      <c r="G20" s="34">
        <v>77</v>
      </c>
      <c r="H20" s="34">
        <v>71</v>
      </c>
      <c r="I20" s="34">
        <v>76</v>
      </c>
      <c r="J20" s="34">
        <v>39</v>
      </c>
      <c r="K20" s="35"/>
      <c r="L20" s="35"/>
      <c r="M20" s="36"/>
      <c r="N20" s="37">
        <f>SUM(C20:M20)</f>
        <v>548</v>
      </c>
      <c r="O20" s="9">
        <v>250</v>
      </c>
      <c r="P20" s="13">
        <f t="shared" si="0"/>
        <v>298</v>
      </c>
    </row>
    <row r="21" spans="1:16">
      <c r="A21" s="19">
        <v>20</v>
      </c>
      <c r="B21" s="38" t="s">
        <v>26</v>
      </c>
      <c r="C21" s="20">
        <v>76</v>
      </c>
      <c r="D21" s="18">
        <v>68</v>
      </c>
      <c r="E21" s="18">
        <v>81</v>
      </c>
      <c r="F21" s="18">
        <v>69</v>
      </c>
      <c r="G21" s="18">
        <v>81</v>
      </c>
      <c r="H21" s="18">
        <v>78</v>
      </c>
      <c r="I21" s="18">
        <v>73</v>
      </c>
      <c r="J21" s="18">
        <v>36</v>
      </c>
      <c r="K21" s="22"/>
      <c r="L21" s="22"/>
      <c r="M21" s="39"/>
      <c r="N21" s="37">
        <f t="shared" ref="N21:N32" si="2">SUM(C21:M21)</f>
        <v>562</v>
      </c>
      <c r="O21" s="16">
        <v>250</v>
      </c>
      <c r="P21" s="18">
        <f t="shared" si="0"/>
        <v>312</v>
      </c>
    </row>
    <row r="22" spans="1:16">
      <c r="A22" s="15">
        <v>21</v>
      </c>
      <c r="B22" s="38" t="s">
        <v>27</v>
      </c>
      <c r="C22" s="16">
        <v>77</v>
      </c>
      <c r="D22" s="18">
        <v>77</v>
      </c>
      <c r="E22" s="18">
        <v>81</v>
      </c>
      <c r="F22" s="18">
        <v>86</v>
      </c>
      <c r="G22" s="18">
        <v>85</v>
      </c>
      <c r="H22" s="18">
        <v>76</v>
      </c>
      <c r="I22" s="18">
        <v>69</v>
      </c>
      <c r="J22" s="18">
        <v>70</v>
      </c>
      <c r="K22" s="22">
        <v>57</v>
      </c>
      <c r="L22" s="22"/>
      <c r="M22" s="39"/>
      <c r="N22" s="37">
        <f t="shared" si="2"/>
        <v>678</v>
      </c>
      <c r="O22" s="16">
        <v>250</v>
      </c>
      <c r="P22" s="18">
        <f t="shared" si="0"/>
        <v>428</v>
      </c>
    </row>
    <row r="23" spans="1:16">
      <c r="A23" s="19">
        <v>22</v>
      </c>
      <c r="B23" s="38" t="s">
        <v>28</v>
      </c>
      <c r="C23" s="16">
        <v>57</v>
      </c>
      <c r="D23" s="18">
        <v>64</v>
      </c>
      <c r="E23" s="18">
        <v>72</v>
      </c>
      <c r="F23" s="18">
        <v>75</v>
      </c>
      <c r="G23" s="18">
        <v>65</v>
      </c>
      <c r="H23" s="18">
        <v>75</v>
      </c>
      <c r="I23" s="18">
        <v>67</v>
      </c>
      <c r="J23" s="18">
        <v>58</v>
      </c>
      <c r="K23" s="22">
        <v>55</v>
      </c>
      <c r="L23" s="22"/>
      <c r="M23" s="39"/>
      <c r="N23" s="37">
        <f t="shared" si="2"/>
        <v>588</v>
      </c>
      <c r="O23" s="16">
        <v>250</v>
      </c>
      <c r="P23" s="18">
        <f t="shared" si="0"/>
        <v>338</v>
      </c>
    </row>
    <row r="24" spans="1:16">
      <c r="A24" s="15">
        <v>23</v>
      </c>
      <c r="B24" s="38" t="s">
        <v>29</v>
      </c>
      <c r="C24" s="16"/>
      <c r="D24" s="18"/>
      <c r="E24" s="18"/>
      <c r="F24" s="18"/>
      <c r="G24" s="18"/>
      <c r="H24" s="18"/>
      <c r="I24" s="18"/>
      <c r="J24" s="18"/>
      <c r="K24" s="22"/>
      <c r="L24" s="22"/>
      <c r="M24" s="39"/>
      <c r="N24" s="37">
        <f t="shared" si="2"/>
        <v>0</v>
      </c>
      <c r="O24" s="16">
        <v>250</v>
      </c>
      <c r="P24" s="18">
        <f t="shared" si="0"/>
        <v>-250</v>
      </c>
    </row>
    <row r="25" spans="1:16">
      <c r="A25" s="19">
        <v>24</v>
      </c>
      <c r="B25" s="38" t="s">
        <v>30</v>
      </c>
      <c r="C25" s="16"/>
      <c r="D25" s="18"/>
      <c r="E25" s="18"/>
      <c r="F25" s="18"/>
      <c r="G25" s="18"/>
      <c r="H25" s="18"/>
      <c r="I25" s="18"/>
      <c r="J25" s="18"/>
      <c r="K25" s="22"/>
      <c r="L25" s="22"/>
      <c r="M25" s="39"/>
      <c r="N25" s="37">
        <f t="shared" si="2"/>
        <v>0</v>
      </c>
      <c r="O25" s="16">
        <v>250</v>
      </c>
      <c r="P25" s="21">
        <f t="shared" si="0"/>
        <v>-250</v>
      </c>
    </row>
    <row r="26" spans="1:16">
      <c r="A26" s="15">
        <v>25</v>
      </c>
      <c r="B26" s="38" t="s">
        <v>31</v>
      </c>
      <c r="C26" s="16">
        <v>75</v>
      </c>
      <c r="D26" s="18">
        <v>65</v>
      </c>
      <c r="E26" s="18">
        <v>78</v>
      </c>
      <c r="F26" s="18">
        <v>60</v>
      </c>
      <c r="G26" s="18">
        <v>77</v>
      </c>
      <c r="H26" s="18">
        <v>74</v>
      </c>
      <c r="I26" s="18">
        <v>61</v>
      </c>
      <c r="J26" s="18">
        <v>74</v>
      </c>
      <c r="K26" s="22">
        <v>74</v>
      </c>
      <c r="L26" s="22"/>
      <c r="M26" s="39"/>
      <c r="N26" s="37">
        <f t="shared" si="2"/>
        <v>638</v>
      </c>
      <c r="O26" s="16">
        <v>250</v>
      </c>
      <c r="P26" s="18">
        <f t="shared" si="0"/>
        <v>388</v>
      </c>
    </row>
    <row r="27" spans="1:16">
      <c r="A27" s="19">
        <v>26</v>
      </c>
      <c r="B27" s="38" t="s">
        <v>32</v>
      </c>
      <c r="C27" s="16">
        <v>73</v>
      </c>
      <c r="D27" s="18">
        <v>81</v>
      </c>
      <c r="E27" s="18">
        <v>82</v>
      </c>
      <c r="F27" s="18">
        <v>84</v>
      </c>
      <c r="G27" s="18">
        <v>85</v>
      </c>
      <c r="H27" s="18">
        <v>92</v>
      </c>
      <c r="I27" s="18">
        <v>87</v>
      </c>
      <c r="J27" s="18">
        <v>84</v>
      </c>
      <c r="K27" s="22"/>
      <c r="L27" s="22"/>
      <c r="M27" s="39"/>
      <c r="N27" s="37">
        <f t="shared" si="2"/>
        <v>668</v>
      </c>
      <c r="O27" s="16">
        <v>250</v>
      </c>
      <c r="P27" s="21">
        <f t="shared" si="0"/>
        <v>418</v>
      </c>
    </row>
    <row r="28" spans="1:16">
      <c r="A28" s="15">
        <v>27</v>
      </c>
      <c r="B28" s="38" t="s">
        <v>33</v>
      </c>
      <c r="C28" s="16">
        <v>87</v>
      </c>
      <c r="D28" s="18">
        <v>82</v>
      </c>
      <c r="E28" s="18">
        <v>71</v>
      </c>
      <c r="F28" s="18">
        <v>70</v>
      </c>
      <c r="G28" s="18">
        <v>87</v>
      </c>
      <c r="H28" s="18">
        <v>82</v>
      </c>
      <c r="I28" s="18">
        <v>81</v>
      </c>
      <c r="J28" s="18">
        <v>79</v>
      </c>
      <c r="K28" s="22"/>
      <c r="L28" s="22"/>
      <c r="M28" s="39"/>
      <c r="N28" s="37">
        <f t="shared" si="2"/>
        <v>639</v>
      </c>
      <c r="O28" s="16">
        <v>250</v>
      </c>
      <c r="P28" s="18">
        <f t="shared" si="0"/>
        <v>389</v>
      </c>
    </row>
    <row r="29" spans="1:16">
      <c r="A29" s="19">
        <v>28</v>
      </c>
      <c r="B29" s="38" t="s">
        <v>34</v>
      </c>
      <c r="C29" s="16">
        <v>63</v>
      </c>
      <c r="D29" s="18">
        <v>63</v>
      </c>
      <c r="E29" s="18">
        <v>65</v>
      </c>
      <c r="F29" s="18">
        <v>67</v>
      </c>
      <c r="G29" s="18">
        <v>63</v>
      </c>
      <c r="H29" s="18">
        <v>62</v>
      </c>
      <c r="I29" s="18">
        <v>73</v>
      </c>
      <c r="J29" s="18">
        <v>32</v>
      </c>
      <c r="K29" s="22"/>
      <c r="L29" s="22"/>
      <c r="M29" s="39"/>
      <c r="N29" s="37">
        <f t="shared" si="2"/>
        <v>488</v>
      </c>
      <c r="O29" s="16">
        <v>250</v>
      </c>
      <c r="P29" s="21">
        <f t="shared" si="0"/>
        <v>238</v>
      </c>
    </row>
    <row r="30" spans="1:16">
      <c r="A30" s="15">
        <v>29</v>
      </c>
      <c r="B30" s="40" t="s">
        <v>35</v>
      </c>
      <c r="C30" s="41">
        <v>71</v>
      </c>
      <c r="D30" s="24">
        <v>74</v>
      </c>
      <c r="E30" s="24">
        <v>73</v>
      </c>
      <c r="F30" s="24">
        <v>57</v>
      </c>
      <c r="G30" s="24">
        <v>82</v>
      </c>
      <c r="H30" s="24">
        <v>75</v>
      </c>
      <c r="I30" s="24">
        <v>84</v>
      </c>
      <c r="J30" s="24"/>
      <c r="K30" s="25"/>
      <c r="L30" s="25"/>
      <c r="M30" s="42"/>
      <c r="N30" s="37">
        <f t="shared" si="2"/>
        <v>516</v>
      </c>
      <c r="O30" s="41">
        <v>250</v>
      </c>
      <c r="P30" s="24">
        <f t="shared" si="0"/>
        <v>266</v>
      </c>
    </row>
    <row r="31" spans="1:16">
      <c r="A31" s="19">
        <v>30</v>
      </c>
      <c r="B31" s="38" t="s">
        <v>36</v>
      </c>
      <c r="C31" s="16">
        <v>69</v>
      </c>
      <c r="D31" s="18">
        <v>71</v>
      </c>
      <c r="E31" s="18">
        <v>74</v>
      </c>
      <c r="F31" s="18">
        <v>78</v>
      </c>
      <c r="G31" s="18">
        <v>69</v>
      </c>
      <c r="H31" s="18">
        <v>72</v>
      </c>
      <c r="I31" s="18">
        <v>66</v>
      </c>
      <c r="J31" s="18">
        <v>38</v>
      </c>
      <c r="K31" s="22"/>
      <c r="L31" s="22"/>
      <c r="M31" s="39"/>
      <c r="N31" s="37">
        <f t="shared" si="2"/>
        <v>537</v>
      </c>
      <c r="O31" s="16">
        <v>250</v>
      </c>
      <c r="P31" s="18">
        <f t="shared" si="0"/>
        <v>287</v>
      </c>
    </row>
    <row r="32" spans="1:16">
      <c r="A32" s="15">
        <v>31</v>
      </c>
      <c r="B32" s="40" t="s">
        <v>37</v>
      </c>
      <c r="C32" s="41">
        <v>80</v>
      </c>
      <c r="D32" s="24">
        <v>86</v>
      </c>
      <c r="E32" s="24">
        <v>81</v>
      </c>
      <c r="F32" s="24">
        <v>75</v>
      </c>
      <c r="G32" s="24">
        <v>79</v>
      </c>
      <c r="H32" s="24">
        <v>56</v>
      </c>
      <c r="I32" s="24">
        <v>49</v>
      </c>
      <c r="J32" s="24"/>
      <c r="K32" s="25"/>
      <c r="L32" s="25"/>
      <c r="M32" s="25"/>
      <c r="N32" s="37">
        <f t="shared" si="2"/>
        <v>506</v>
      </c>
      <c r="O32" s="41">
        <v>250</v>
      </c>
      <c r="P32" s="24">
        <f t="shared" si="0"/>
        <v>256</v>
      </c>
    </row>
    <row r="33" spans="1:16">
      <c r="A33" s="26"/>
      <c r="B33" s="43"/>
      <c r="C33" s="145" t="s">
        <v>24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44">
        <f>SUM(N20:N32)</f>
        <v>6368</v>
      </c>
      <c r="O33" s="30"/>
      <c r="P33" s="31"/>
    </row>
    <row r="34" spans="1:16">
      <c r="A34" s="45">
        <v>32</v>
      </c>
      <c r="B34" s="45" t="s">
        <v>38</v>
      </c>
      <c r="C34" s="46">
        <v>81</v>
      </c>
      <c r="D34" s="47">
        <v>79</v>
      </c>
      <c r="E34" s="47">
        <v>95</v>
      </c>
      <c r="F34" s="47">
        <v>73</v>
      </c>
      <c r="G34" s="47">
        <v>72</v>
      </c>
      <c r="H34" s="47">
        <v>55</v>
      </c>
      <c r="I34" s="47"/>
      <c r="J34" s="47"/>
      <c r="K34" s="47"/>
      <c r="L34" s="47"/>
      <c r="M34" s="48"/>
      <c r="N34" s="8">
        <f>SUM(C34:M34)</f>
        <v>455</v>
      </c>
      <c r="O34" s="16">
        <v>250</v>
      </c>
      <c r="P34" s="21">
        <f t="shared" ref="P34:P38" si="3">N34-O34</f>
        <v>205</v>
      </c>
    </row>
    <row r="35" spans="1:16">
      <c r="A35" s="17">
        <v>33</v>
      </c>
      <c r="B35" s="17" t="s">
        <v>39</v>
      </c>
      <c r="C35" s="49"/>
      <c r="D35" s="50"/>
      <c r="E35" s="50"/>
      <c r="F35" s="50"/>
      <c r="G35" s="50"/>
      <c r="H35" s="50"/>
      <c r="I35" s="50"/>
      <c r="J35" s="50"/>
      <c r="K35" s="50"/>
      <c r="L35" s="50"/>
      <c r="M35" s="51"/>
      <c r="N35" s="8">
        <f t="shared" ref="N35:N38" si="4">SUM(C35:M35)</f>
        <v>0</v>
      </c>
      <c r="O35" s="16">
        <v>250</v>
      </c>
      <c r="P35" s="18">
        <f t="shared" si="3"/>
        <v>-250</v>
      </c>
    </row>
    <row r="36" spans="1:16">
      <c r="A36" s="17">
        <v>34</v>
      </c>
      <c r="B36" s="17" t="s">
        <v>41</v>
      </c>
      <c r="C36" s="49">
        <v>79</v>
      </c>
      <c r="D36" s="50">
        <v>69</v>
      </c>
      <c r="E36" s="50">
        <v>75</v>
      </c>
      <c r="F36" s="50">
        <v>67</v>
      </c>
      <c r="G36" s="50">
        <v>16</v>
      </c>
      <c r="H36" s="50"/>
      <c r="I36" s="50"/>
      <c r="J36" s="50"/>
      <c r="K36" s="50"/>
      <c r="L36" s="50"/>
      <c r="M36" s="51"/>
      <c r="N36" s="8">
        <f t="shared" si="4"/>
        <v>306</v>
      </c>
      <c r="O36" s="16">
        <v>250</v>
      </c>
      <c r="P36" s="21">
        <f t="shared" si="3"/>
        <v>56</v>
      </c>
    </row>
    <row r="37" spans="1:16">
      <c r="A37" s="52">
        <v>35</v>
      </c>
      <c r="B37" s="52" t="s">
        <v>42</v>
      </c>
      <c r="C37" s="49">
        <v>71</v>
      </c>
      <c r="D37" s="50">
        <v>68</v>
      </c>
      <c r="E37" s="50">
        <v>87</v>
      </c>
      <c r="F37" s="50">
        <v>78</v>
      </c>
      <c r="G37" s="50">
        <v>71</v>
      </c>
      <c r="H37" s="50">
        <v>27</v>
      </c>
      <c r="I37" s="50"/>
      <c r="J37" s="50"/>
      <c r="K37" s="50"/>
      <c r="L37" s="50"/>
      <c r="M37" s="51"/>
      <c r="N37" s="8">
        <f t="shared" si="4"/>
        <v>402</v>
      </c>
      <c r="O37" s="16">
        <v>250</v>
      </c>
      <c r="P37" s="18">
        <f t="shared" si="3"/>
        <v>152</v>
      </c>
    </row>
    <row r="38" spans="1:16">
      <c r="A38" s="52">
        <v>36</v>
      </c>
      <c r="B38" s="52" t="s">
        <v>43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5"/>
      <c r="N38" s="8">
        <f t="shared" si="4"/>
        <v>0</v>
      </c>
      <c r="O38" s="41">
        <v>250</v>
      </c>
      <c r="P38" s="56">
        <f t="shared" si="3"/>
        <v>-250</v>
      </c>
    </row>
    <row r="39" spans="1:16">
      <c r="A39" s="57"/>
      <c r="B39" s="58"/>
      <c r="C39" s="143" t="s">
        <v>24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29">
        <f>SUM(N37,N36,N34)</f>
        <v>1163</v>
      </c>
      <c r="O39" s="59"/>
      <c r="P39" s="60"/>
    </row>
    <row r="40" spans="1:16">
      <c r="A40" s="8">
        <v>37</v>
      </c>
      <c r="B40" s="61" t="s">
        <v>44</v>
      </c>
      <c r="C40" s="62">
        <v>72</v>
      </c>
      <c r="D40" s="63">
        <v>73</v>
      </c>
      <c r="E40" s="63">
        <v>72</v>
      </c>
      <c r="F40" s="63">
        <v>83</v>
      </c>
      <c r="G40" s="63">
        <v>85</v>
      </c>
      <c r="H40" s="63">
        <v>73</v>
      </c>
      <c r="I40" s="63">
        <v>76</v>
      </c>
      <c r="J40" s="63">
        <v>50</v>
      </c>
      <c r="K40" s="63"/>
      <c r="L40" s="63"/>
      <c r="M40" s="64"/>
      <c r="N40" s="8">
        <f>SUM(C40:M40)</f>
        <v>584</v>
      </c>
      <c r="O40" s="16">
        <v>250</v>
      </c>
      <c r="P40" s="18">
        <f t="shared" ref="P40:P41" si="5">N40-O40</f>
        <v>334</v>
      </c>
    </row>
    <row r="41" spans="1:16">
      <c r="A41" s="15">
        <v>38</v>
      </c>
      <c r="B41" s="65" t="s">
        <v>45</v>
      </c>
      <c r="C41" s="66">
        <v>72</v>
      </c>
      <c r="D41" s="67">
        <v>61</v>
      </c>
      <c r="E41" s="67">
        <v>75</v>
      </c>
      <c r="F41" s="67">
        <v>68</v>
      </c>
      <c r="G41" s="67">
        <v>77</v>
      </c>
      <c r="H41" s="67">
        <v>83</v>
      </c>
      <c r="I41" s="67"/>
      <c r="J41" s="67"/>
      <c r="K41" s="67"/>
      <c r="L41" s="67"/>
      <c r="M41" s="68"/>
      <c r="N41" s="8">
        <f>SUM(C41:M41)</f>
        <v>436</v>
      </c>
      <c r="O41" s="16">
        <v>250</v>
      </c>
      <c r="P41" s="18">
        <f t="shared" si="5"/>
        <v>186</v>
      </c>
    </row>
    <row r="42" spans="1:16">
      <c r="A42" s="71"/>
      <c r="B42" s="30"/>
      <c r="C42" s="143" t="s">
        <v>24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8"/>
      <c r="N42" s="72">
        <f>SUM(N40:N41)</f>
        <v>1020</v>
      </c>
      <c r="O42" s="73"/>
      <c r="P42" s="74"/>
    </row>
    <row r="43" spans="1:16">
      <c r="A43" s="75"/>
      <c r="B43" s="76" t="s">
        <v>46</v>
      </c>
      <c r="C43" s="77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80">
        <f>N42+N39+N33+N19</f>
        <v>17347</v>
      </c>
      <c r="O43" s="81"/>
      <c r="P43" s="79"/>
    </row>
  </sheetData>
  <mergeCells count="5">
    <mergeCell ref="C2:M2"/>
    <mergeCell ref="C19:M19"/>
    <mergeCell ref="C33:M33"/>
    <mergeCell ref="C39:M39"/>
    <mergeCell ref="C42:M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3ECB-4045-44CB-8C48-5CEA00D7220F}">
  <dimension ref="A1:P43"/>
  <sheetViews>
    <sheetView topLeftCell="A39" workbookViewId="0">
      <selection activeCell="A47" sqref="A47"/>
    </sheetView>
  </sheetViews>
  <sheetFormatPr defaultRowHeight="15"/>
  <cols>
    <col min="2" max="2" width="21.140625" customWidth="1"/>
    <col min="3" max="3" width="4.140625" customWidth="1"/>
    <col min="4" max="4" width="4" customWidth="1"/>
    <col min="5" max="5" width="3.85546875" customWidth="1"/>
    <col min="6" max="6" width="3.7109375" customWidth="1"/>
    <col min="7" max="7" width="3.85546875" customWidth="1"/>
    <col min="8" max="9" width="4" customWidth="1"/>
    <col min="10" max="10" width="3.7109375" customWidth="1"/>
    <col min="11" max="12" width="3.85546875" customWidth="1"/>
    <col min="13" max="13" width="6" customWidth="1"/>
  </cols>
  <sheetData>
    <row r="1" spans="1:16" ht="15.75">
      <c r="A1" s="1"/>
      <c r="B1" s="2" t="s">
        <v>49</v>
      </c>
      <c r="L1">
        <v>62</v>
      </c>
      <c r="N1" s="3" t="s">
        <v>1</v>
      </c>
    </row>
    <row r="2" spans="1:16">
      <c r="A2" s="3" t="s">
        <v>2</v>
      </c>
      <c r="B2" s="4" t="s">
        <v>3</v>
      </c>
      <c r="C2" s="143" t="s">
        <v>4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3" t="s">
        <v>5</v>
      </c>
      <c r="O2" s="6" t="s">
        <v>6</v>
      </c>
      <c r="P2" s="7" t="s">
        <v>7</v>
      </c>
    </row>
    <row r="3" spans="1:16">
      <c r="A3" s="8">
        <v>1</v>
      </c>
      <c r="B3" s="9" t="s">
        <v>8</v>
      </c>
      <c r="C3" s="10">
        <v>121</v>
      </c>
      <c r="D3" s="11">
        <v>141</v>
      </c>
      <c r="E3" s="11">
        <v>125</v>
      </c>
      <c r="F3" s="11">
        <v>120</v>
      </c>
      <c r="G3" s="11">
        <v>86</v>
      </c>
      <c r="H3" s="11">
        <v>96</v>
      </c>
      <c r="I3" s="12">
        <v>99</v>
      </c>
      <c r="J3" s="13">
        <v>75</v>
      </c>
      <c r="K3" s="13">
        <v>66</v>
      </c>
      <c r="L3" s="13"/>
      <c r="M3" s="14"/>
      <c r="N3" s="8">
        <f>SUM(C3:M3)</f>
        <v>929</v>
      </c>
      <c r="O3" s="9">
        <v>250</v>
      </c>
      <c r="P3" s="18">
        <f t="shared" ref="P3:P33" si="0">N3-O3</f>
        <v>679</v>
      </c>
    </row>
    <row r="4" spans="1:16">
      <c r="A4" s="15">
        <v>2</v>
      </c>
      <c r="B4" s="16" t="s">
        <v>9</v>
      </c>
      <c r="C4" s="17">
        <v>96</v>
      </c>
      <c r="D4" s="18">
        <v>97</v>
      </c>
      <c r="E4" s="18">
        <v>107</v>
      </c>
      <c r="F4" s="18">
        <v>99</v>
      </c>
      <c r="G4" s="18">
        <v>101</v>
      </c>
      <c r="H4" s="18">
        <v>99</v>
      </c>
      <c r="I4" s="18">
        <v>70</v>
      </c>
      <c r="J4" s="13">
        <v>89</v>
      </c>
      <c r="K4" s="13">
        <v>35</v>
      </c>
      <c r="L4" s="13"/>
      <c r="M4" s="14"/>
      <c r="N4" s="8">
        <f t="shared" ref="N4:N18" si="1">SUM(C4:M4)</f>
        <v>793</v>
      </c>
      <c r="O4" s="16">
        <v>250</v>
      </c>
      <c r="P4" s="18">
        <f t="shared" si="0"/>
        <v>543</v>
      </c>
    </row>
    <row r="5" spans="1:16">
      <c r="A5" s="19">
        <v>3</v>
      </c>
      <c r="B5" s="16" t="s">
        <v>10</v>
      </c>
      <c r="C5" s="20">
        <v>73</v>
      </c>
      <c r="D5" s="13">
        <v>75</v>
      </c>
      <c r="E5" s="13">
        <v>76</v>
      </c>
      <c r="F5" s="13">
        <v>70</v>
      </c>
      <c r="G5" s="13">
        <v>85</v>
      </c>
      <c r="H5" s="13">
        <v>71</v>
      </c>
      <c r="I5" s="13">
        <v>79</v>
      </c>
      <c r="J5" s="13">
        <v>64</v>
      </c>
      <c r="K5" s="13">
        <v>73</v>
      </c>
      <c r="L5" s="13">
        <v>80</v>
      </c>
      <c r="M5" s="14"/>
      <c r="N5" s="8">
        <f t="shared" si="1"/>
        <v>746</v>
      </c>
      <c r="O5" s="16">
        <v>250</v>
      </c>
      <c r="P5" s="21">
        <f t="shared" si="0"/>
        <v>496</v>
      </c>
    </row>
    <row r="6" spans="1:16">
      <c r="A6" s="15">
        <v>4</v>
      </c>
      <c r="B6" s="16" t="s">
        <v>11</v>
      </c>
      <c r="C6" s="20">
        <v>69</v>
      </c>
      <c r="D6" s="18">
        <v>73</v>
      </c>
      <c r="E6" s="18">
        <v>77</v>
      </c>
      <c r="F6" s="18">
        <v>78</v>
      </c>
      <c r="G6" s="18">
        <v>63</v>
      </c>
      <c r="H6" s="18">
        <v>67</v>
      </c>
      <c r="I6" s="18">
        <v>69</v>
      </c>
      <c r="J6" s="18">
        <v>37</v>
      </c>
      <c r="K6" s="18"/>
      <c r="L6" s="18"/>
      <c r="M6" s="22"/>
      <c r="N6" s="8">
        <f t="shared" si="1"/>
        <v>533</v>
      </c>
      <c r="O6" s="16">
        <v>250</v>
      </c>
      <c r="P6" s="18">
        <f>N6-O6</f>
        <v>283</v>
      </c>
    </row>
    <row r="7" spans="1:16">
      <c r="A7" s="19">
        <v>5</v>
      </c>
      <c r="B7" s="16" t="s">
        <v>12</v>
      </c>
      <c r="C7" s="20"/>
      <c r="D7" s="18"/>
      <c r="E7" s="18"/>
      <c r="F7" s="18"/>
      <c r="G7" s="18"/>
      <c r="H7" s="18"/>
      <c r="I7" s="18"/>
      <c r="J7" s="18"/>
      <c r="K7" s="18"/>
      <c r="L7" s="18"/>
      <c r="M7" s="22"/>
      <c r="N7" s="8">
        <f t="shared" si="1"/>
        <v>0</v>
      </c>
      <c r="O7" s="16">
        <v>250</v>
      </c>
      <c r="P7" s="18">
        <f t="shared" si="0"/>
        <v>-250</v>
      </c>
    </row>
    <row r="8" spans="1:16">
      <c r="A8" s="15">
        <v>6</v>
      </c>
      <c r="B8" s="16" t="s">
        <v>13</v>
      </c>
      <c r="C8" s="20">
        <v>79</v>
      </c>
      <c r="D8" s="18">
        <v>87</v>
      </c>
      <c r="E8" s="18">
        <v>84</v>
      </c>
      <c r="F8" s="18">
        <v>78</v>
      </c>
      <c r="G8" s="18">
        <v>80</v>
      </c>
      <c r="H8" s="18">
        <v>77</v>
      </c>
      <c r="I8" s="18">
        <v>85</v>
      </c>
      <c r="J8" s="18">
        <v>36</v>
      </c>
      <c r="K8" s="18"/>
      <c r="L8" s="18"/>
      <c r="M8" s="22"/>
      <c r="N8" s="8">
        <f t="shared" si="1"/>
        <v>606</v>
      </c>
      <c r="O8" s="16">
        <v>250</v>
      </c>
      <c r="P8" s="18">
        <f t="shared" si="0"/>
        <v>356</v>
      </c>
    </row>
    <row r="9" spans="1:16">
      <c r="A9" s="19">
        <v>7</v>
      </c>
      <c r="B9" s="16" t="s">
        <v>14</v>
      </c>
      <c r="C9" s="20"/>
      <c r="D9" s="18"/>
      <c r="E9" s="18"/>
      <c r="F9" s="18"/>
      <c r="G9" s="18"/>
      <c r="H9" s="18"/>
      <c r="I9" s="18"/>
      <c r="J9" s="18"/>
      <c r="K9" s="18"/>
      <c r="L9" s="18"/>
      <c r="M9" s="22"/>
      <c r="N9" s="8">
        <f t="shared" si="1"/>
        <v>0</v>
      </c>
      <c r="O9" s="16">
        <v>250</v>
      </c>
      <c r="P9" s="18">
        <f t="shared" si="0"/>
        <v>-250</v>
      </c>
    </row>
    <row r="10" spans="1:16">
      <c r="A10" s="15">
        <v>8</v>
      </c>
      <c r="B10" s="16" t="s">
        <v>15</v>
      </c>
      <c r="C10" s="20">
        <v>62</v>
      </c>
      <c r="D10" s="18">
        <v>62</v>
      </c>
      <c r="E10" s="18">
        <v>72</v>
      </c>
      <c r="F10" s="18">
        <v>65</v>
      </c>
      <c r="G10" s="18">
        <v>63</v>
      </c>
      <c r="H10" s="18">
        <v>71</v>
      </c>
      <c r="I10" s="18">
        <v>56</v>
      </c>
      <c r="J10" s="18">
        <v>58</v>
      </c>
      <c r="K10" s="18">
        <v>55</v>
      </c>
      <c r="L10" s="18">
        <v>54</v>
      </c>
      <c r="M10" s="22"/>
      <c r="N10" s="8">
        <f t="shared" si="1"/>
        <v>618</v>
      </c>
      <c r="O10" s="16">
        <v>250</v>
      </c>
      <c r="P10" s="18">
        <f t="shared" si="0"/>
        <v>368</v>
      </c>
    </row>
    <row r="11" spans="1:16">
      <c r="A11" s="19">
        <v>9</v>
      </c>
      <c r="B11" s="16" t="s">
        <v>16</v>
      </c>
      <c r="C11" s="20"/>
      <c r="D11" s="18"/>
      <c r="E11" s="18"/>
      <c r="F11" s="18"/>
      <c r="G11" s="18"/>
      <c r="H11" s="18"/>
      <c r="I11" s="18"/>
      <c r="J11" s="18"/>
      <c r="K11" s="18"/>
      <c r="L11" s="18"/>
      <c r="M11" s="22"/>
      <c r="N11" s="8">
        <f t="shared" si="1"/>
        <v>0</v>
      </c>
      <c r="O11" s="16">
        <v>250</v>
      </c>
      <c r="P11" s="18">
        <f t="shared" si="0"/>
        <v>-250</v>
      </c>
    </row>
    <row r="12" spans="1:16">
      <c r="A12" s="15">
        <v>10</v>
      </c>
      <c r="B12" s="16" t="s">
        <v>17</v>
      </c>
      <c r="C12" s="20">
        <v>79</v>
      </c>
      <c r="D12" s="18">
        <v>78</v>
      </c>
      <c r="E12" s="18">
        <v>73</v>
      </c>
      <c r="F12" s="18">
        <v>81</v>
      </c>
      <c r="G12" s="18">
        <v>71</v>
      </c>
      <c r="H12" s="18">
        <v>70</v>
      </c>
      <c r="I12" s="18">
        <v>79</v>
      </c>
      <c r="J12" s="18"/>
      <c r="K12" s="18"/>
      <c r="L12" s="18"/>
      <c r="M12" s="22"/>
      <c r="N12" s="8">
        <f t="shared" si="1"/>
        <v>531</v>
      </c>
      <c r="O12" s="16">
        <v>250</v>
      </c>
      <c r="P12" s="18">
        <f t="shared" si="0"/>
        <v>281</v>
      </c>
    </row>
    <row r="13" spans="1:16">
      <c r="A13" s="19">
        <v>11</v>
      </c>
      <c r="B13" s="16" t="s">
        <v>18</v>
      </c>
      <c r="C13" s="23">
        <v>67</v>
      </c>
      <c r="D13" s="24">
        <v>67</v>
      </c>
      <c r="E13" s="24">
        <v>55</v>
      </c>
      <c r="F13" s="24">
        <v>67</v>
      </c>
      <c r="G13" s="24">
        <v>68</v>
      </c>
      <c r="H13" s="24">
        <v>60</v>
      </c>
      <c r="I13" s="24">
        <v>57</v>
      </c>
      <c r="J13" s="24">
        <v>61</v>
      </c>
      <c r="K13" s="24">
        <v>14</v>
      </c>
      <c r="L13" s="24"/>
      <c r="M13" s="25"/>
      <c r="N13" s="8">
        <f t="shared" si="1"/>
        <v>516</v>
      </c>
      <c r="O13" s="16">
        <v>250</v>
      </c>
      <c r="P13" s="18">
        <f t="shared" si="0"/>
        <v>266</v>
      </c>
    </row>
    <row r="14" spans="1:16">
      <c r="A14" s="15">
        <v>12</v>
      </c>
      <c r="B14" s="16" t="s">
        <v>19</v>
      </c>
      <c r="C14" s="20">
        <v>57</v>
      </c>
      <c r="D14" s="18">
        <v>72</v>
      </c>
      <c r="E14" s="18">
        <v>75</v>
      </c>
      <c r="F14" s="18">
        <v>56</v>
      </c>
      <c r="G14" s="18">
        <v>63</v>
      </c>
      <c r="H14" s="18">
        <v>61</v>
      </c>
      <c r="I14" s="18">
        <v>62</v>
      </c>
      <c r="J14" s="18">
        <v>58</v>
      </c>
      <c r="K14" s="18"/>
      <c r="L14" s="18"/>
      <c r="M14" s="22"/>
      <c r="N14" s="8">
        <f t="shared" si="1"/>
        <v>504</v>
      </c>
      <c r="O14" s="16">
        <v>250</v>
      </c>
      <c r="P14" s="18">
        <f t="shared" si="0"/>
        <v>254</v>
      </c>
    </row>
    <row r="15" spans="1:16">
      <c r="A15" s="19">
        <v>13</v>
      </c>
      <c r="B15" s="16" t="s">
        <v>20</v>
      </c>
      <c r="C15" s="20">
        <v>98</v>
      </c>
      <c r="D15" s="18">
        <v>111</v>
      </c>
      <c r="E15" s="18">
        <v>79</v>
      </c>
      <c r="F15" s="18">
        <v>111</v>
      </c>
      <c r="G15" s="18">
        <v>92</v>
      </c>
      <c r="H15" s="18">
        <v>73</v>
      </c>
      <c r="I15" s="18">
        <v>69</v>
      </c>
      <c r="J15" s="18">
        <v>74</v>
      </c>
      <c r="K15" s="18">
        <v>80</v>
      </c>
      <c r="L15" s="18">
        <v>74</v>
      </c>
      <c r="M15" s="22"/>
      <c r="N15" s="8">
        <f t="shared" si="1"/>
        <v>861</v>
      </c>
      <c r="O15" s="16">
        <v>250</v>
      </c>
      <c r="P15" s="18">
        <f t="shared" si="0"/>
        <v>611</v>
      </c>
    </row>
    <row r="16" spans="1:16">
      <c r="A16" s="15">
        <v>14</v>
      </c>
      <c r="B16" s="16" t="s">
        <v>21</v>
      </c>
      <c r="C16" s="20"/>
      <c r="D16" s="18"/>
      <c r="E16" s="18"/>
      <c r="F16" s="18"/>
      <c r="G16" s="18"/>
      <c r="H16" s="18"/>
      <c r="I16" s="18"/>
      <c r="J16" s="18"/>
      <c r="K16" s="18"/>
      <c r="L16" s="18"/>
      <c r="M16" s="22"/>
      <c r="N16" s="8">
        <f t="shared" si="1"/>
        <v>0</v>
      </c>
      <c r="O16" s="16">
        <v>250</v>
      </c>
      <c r="P16" s="21">
        <f t="shared" si="0"/>
        <v>-250</v>
      </c>
    </row>
    <row r="17" spans="1:16">
      <c r="A17" s="19">
        <v>15</v>
      </c>
      <c r="B17" s="16" t="s">
        <v>22</v>
      </c>
      <c r="C17" s="20"/>
      <c r="D17" s="18"/>
      <c r="E17" s="18"/>
      <c r="F17" s="18"/>
      <c r="G17" s="18"/>
      <c r="H17" s="18"/>
      <c r="I17" s="18"/>
      <c r="J17" s="18"/>
      <c r="K17" s="18"/>
      <c r="L17" s="18"/>
      <c r="M17" s="22"/>
      <c r="N17" s="8">
        <f t="shared" si="1"/>
        <v>0</v>
      </c>
      <c r="O17" s="16">
        <v>250</v>
      </c>
      <c r="P17" s="18">
        <f t="shared" si="0"/>
        <v>-250</v>
      </c>
    </row>
    <row r="18" spans="1:16">
      <c r="A18" s="15">
        <v>16</v>
      </c>
      <c r="B18" s="16" t="s">
        <v>23</v>
      </c>
      <c r="C18" s="20">
        <v>84</v>
      </c>
      <c r="D18" s="18">
        <v>81</v>
      </c>
      <c r="E18" s="18">
        <v>81</v>
      </c>
      <c r="F18" s="18">
        <v>80</v>
      </c>
      <c r="G18" s="18">
        <v>71</v>
      </c>
      <c r="H18" s="18">
        <v>59</v>
      </c>
      <c r="I18" s="18">
        <v>68</v>
      </c>
      <c r="J18" s="18">
        <v>68</v>
      </c>
      <c r="K18" s="18"/>
      <c r="L18" s="18"/>
      <c r="M18" s="22"/>
      <c r="N18" s="8">
        <f t="shared" si="1"/>
        <v>592</v>
      </c>
      <c r="O18" s="16">
        <v>250</v>
      </c>
      <c r="P18" s="18">
        <f t="shared" si="0"/>
        <v>342</v>
      </c>
    </row>
    <row r="19" spans="1:16">
      <c r="A19" s="26"/>
      <c r="B19" s="27"/>
      <c r="C19" s="144" t="s">
        <v>24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29">
        <f>SUM(N3:N18)</f>
        <v>7229</v>
      </c>
      <c r="O19" s="30"/>
      <c r="P19" s="31"/>
    </row>
    <row r="20" spans="1:16">
      <c r="A20" s="8">
        <v>18</v>
      </c>
      <c r="B20" s="32" t="s">
        <v>25</v>
      </c>
      <c r="C20" s="33">
        <v>68</v>
      </c>
      <c r="D20" s="34">
        <v>73</v>
      </c>
      <c r="E20" s="34">
        <v>71</v>
      </c>
      <c r="F20" s="34">
        <v>64</v>
      </c>
      <c r="G20" s="34">
        <v>66</v>
      </c>
      <c r="H20" s="34">
        <v>59</v>
      </c>
      <c r="I20" s="34">
        <v>68</v>
      </c>
      <c r="J20" s="34">
        <v>56</v>
      </c>
      <c r="K20" s="35"/>
      <c r="L20" s="35"/>
      <c r="M20" s="36"/>
      <c r="N20" s="37">
        <f>SUM(C20:M20)</f>
        <v>525</v>
      </c>
      <c r="O20" s="9">
        <v>250</v>
      </c>
      <c r="P20" s="13">
        <f t="shared" si="0"/>
        <v>275</v>
      </c>
    </row>
    <row r="21" spans="1:16">
      <c r="A21" s="19">
        <v>20</v>
      </c>
      <c r="B21" s="38" t="s">
        <v>26</v>
      </c>
      <c r="C21" s="20">
        <v>73</v>
      </c>
      <c r="D21" s="18">
        <v>80</v>
      </c>
      <c r="E21" s="18">
        <v>81</v>
      </c>
      <c r="F21" s="18">
        <v>72</v>
      </c>
      <c r="G21" s="18">
        <v>77</v>
      </c>
      <c r="H21" s="18">
        <v>75</v>
      </c>
      <c r="I21" s="18">
        <v>68</v>
      </c>
      <c r="J21" s="18">
        <v>44</v>
      </c>
      <c r="K21" s="22"/>
      <c r="L21" s="22"/>
      <c r="M21" s="39"/>
      <c r="N21" s="37">
        <f t="shared" ref="N21:N32" si="2">SUM(C21:M21)</f>
        <v>570</v>
      </c>
      <c r="O21" s="16">
        <v>250</v>
      </c>
      <c r="P21" s="18">
        <f t="shared" si="0"/>
        <v>320</v>
      </c>
    </row>
    <row r="22" spans="1:16">
      <c r="A22" s="15">
        <v>21</v>
      </c>
      <c r="B22" s="38" t="s">
        <v>27</v>
      </c>
      <c r="C22" s="16">
        <v>78</v>
      </c>
      <c r="D22" s="18">
        <v>67</v>
      </c>
      <c r="E22" s="18">
        <v>85</v>
      </c>
      <c r="F22" s="18">
        <v>83</v>
      </c>
      <c r="G22" s="18">
        <v>75</v>
      </c>
      <c r="H22" s="18">
        <v>75</v>
      </c>
      <c r="I22" s="18">
        <v>69</v>
      </c>
      <c r="J22" s="18">
        <v>75</v>
      </c>
      <c r="K22" s="22">
        <v>72</v>
      </c>
      <c r="L22" s="22"/>
      <c r="M22" s="39"/>
      <c r="N22" s="37">
        <f t="shared" si="2"/>
        <v>679</v>
      </c>
      <c r="O22" s="16">
        <v>250</v>
      </c>
      <c r="P22" s="18">
        <f t="shared" si="0"/>
        <v>429</v>
      </c>
    </row>
    <row r="23" spans="1:16">
      <c r="A23" s="19">
        <v>22</v>
      </c>
      <c r="B23" s="38" t="s">
        <v>28</v>
      </c>
      <c r="C23" s="16">
        <v>78</v>
      </c>
      <c r="D23" s="18">
        <v>86</v>
      </c>
      <c r="E23" s="18">
        <v>74</v>
      </c>
      <c r="F23" s="18">
        <v>72</v>
      </c>
      <c r="G23" s="18">
        <v>73</v>
      </c>
      <c r="H23" s="18">
        <v>69</v>
      </c>
      <c r="I23" s="18">
        <v>30</v>
      </c>
      <c r="J23" s="18"/>
      <c r="K23" s="22"/>
      <c r="L23" s="22"/>
      <c r="M23" s="39"/>
      <c r="N23" s="37">
        <f t="shared" si="2"/>
        <v>482</v>
      </c>
      <c r="O23" s="16">
        <v>250</v>
      </c>
      <c r="P23" s="18">
        <f t="shared" si="0"/>
        <v>232</v>
      </c>
    </row>
    <row r="24" spans="1:16">
      <c r="A24" s="15">
        <v>23</v>
      </c>
      <c r="B24" s="38" t="s">
        <v>29</v>
      </c>
      <c r="C24" s="16"/>
      <c r="D24" s="18"/>
      <c r="E24" s="18"/>
      <c r="F24" s="18"/>
      <c r="G24" s="18"/>
      <c r="H24" s="18"/>
      <c r="I24" s="18"/>
      <c r="J24" s="18"/>
      <c r="K24" s="22"/>
      <c r="L24" s="22"/>
      <c r="M24" s="39"/>
      <c r="N24" s="37">
        <f t="shared" si="2"/>
        <v>0</v>
      </c>
      <c r="O24" s="16">
        <v>250</v>
      </c>
      <c r="P24" s="18">
        <f t="shared" si="0"/>
        <v>-250</v>
      </c>
    </row>
    <row r="25" spans="1:16">
      <c r="A25" s="19">
        <v>24</v>
      </c>
      <c r="B25" s="38" t="s">
        <v>30</v>
      </c>
      <c r="C25" s="16"/>
      <c r="D25" s="18"/>
      <c r="E25" s="18"/>
      <c r="F25" s="18"/>
      <c r="G25" s="18"/>
      <c r="H25" s="18"/>
      <c r="I25" s="18"/>
      <c r="J25" s="18"/>
      <c r="K25" s="22"/>
      <c r="L25" s="22"/>
      <c r="M25" s="39"/>
      <c r="N25" s="37">
        <f t="shared" si="2"/>
        <v>0</v>
      </c>
      <c r="O25" s="16">
        <v>250</v>
      </c>
      <c r="P25" s="21">
        <f t="shared" si="0"/>
        <v>-250</v>
      </c>
    </row>
    <row r="26" spans="1:16">
      <c r="A26" s="15">
        <v>25</v>
      </c>
      <c r="B26" s="38" t="s">
        <v>31</v>
      </c>
      <c r="C26" s="16">
        <v>69</v>
      </c>
      <c r="D26" s="18">
        <v>79</v>
      </c>
      <c r="E26" s="18">
        <v>65</v>
      </c>
      <c r="F26" s="18">
        <v>71</v>
      </c>
      <c r="G26" s="18">
        <v>75</v>
      </c>
      <c r="H26" s="18">
        <v>76</v>
      </c>
      <c r="I26" s="18">
        <v>76</v>
      </c>
      <c r="J26" s="18">
        <v>72</v>
      </c>
      <c r="K26" s="22">
        <v>29</v>
      </c>
      <c r="L26" s="22"/>
      <c r="M26" s="39"/>
      <c r="N26" s="37">
        <f t="shared" si="2"/>
        <v>612</v>
      </c>
      <c r="O26" s="16">
        <v>250</v>
      </c>
      <c r="P26" s="18">
        <f t="shared" si="0"/>
        <v>362</v>
      </c>
    </row>
    <row r="27" spans="1:16">
      <c r="A27" s="19">
        <v>26</v>
      </c>
      <c r="B27" s="38" t="s">
        <v>32</v>
      </c>
      <c r="C27" s="16">
        <v>70</v>
      </c>
      <c r="D27" s="18">
        <v>75</v>
      </c>
      <c r="E27" s="18">
        <v>77</v>
      </c>
      <c r="F27" s="18">
        <v>83</v>
      </c>
      <c r="G27" s="18">
        <v>79</v>
      </c>
      <c r="H27" s="18">
        <v>77</v>
      </c>
      <c r="I27" s="18">
        <v>66</v>
      </c>
      <c r="J27" s="18">
        <v>65</v>
      </c>
      <c r="K27" s="22">
        <v>63</v>
      </c>
      <c r="L27" s="22">
        <v>62</v>
      </c>
      <c r="M27" s="39"/>
      <c r="N27" s="37">
        <f t="shared" si="2"/>
        <v>717</v>
      </c>
      <c r="O27" s="16">
        <v>250</v>
      </c>
      <c r="P27" s="21">
        <f t="shared" si="0"/>
        <v>467</v>
      </c>
    </row>
    <row r="28" spans="1:16">
      <c r="A28" s="15">
        <v>27</v>
      </c>
      <c r="B28" s="38" t="s">
        <v>33</v>
      </c>
      <c r="C28" s="16">
        <v>75</v>
      </c>
      <c r="D28" s="18">
        <v>75</v>
      </c>
      <c r="E28" s="18">
        <v>74</v>
      </c>
      <c r="F28" s="18">
        <v>76</v>
      </c>
      <c r="G28" s="18">
        <v>66</v>
      </c>
      <c r="H28" s="18">
        <v>64</v>
      </c>
      <c r="I28" s="18">
        <v>72</v>
      </c>
      <c r="J28" s="18">
        <v>71</v>
      </c>
      <c r="K28" s="22">
        <v>73</v>
      </c>
      <c r="L28" s="22">
        <v>33</v>
      </c>
      <c r="M28" s="39"/>
      <c r="N28" s="37">
        <f t="shared" si="2"/>
        <v>679</v>
      </c>
      <c r="O28" s="16">
        <v>250</v>
      </c>
      <c r="P28" s="18">
        <f t="shared" si="0"/>
        <v>429</v>
      </c>
    </row>
    <row r="29" spans="1:16">
      <c r="A29" s="19">
        <v>28</v>
      </c>
      <c r="B29" s="38" t="s">
        <v>34</v>
      </c>
      <c r="C29" s="16">
        <v>49</v>
      </c>
      <c r="D29" s="18">
        <v>66</v>
      </c>
      <c r="E29" s="18">
        <v>65</v>
      </c>
      <c r="F29" s="18">
        <v>63</v>
      </c>
      <c r="G29" s="18">
        <v>63</v>
      </c>
      <c r="H29" s="18">
        <v>69</v>
      </c>
      <c r="I29" s="18">
        <v>58</v>
      </c>
      <c r="J29" s="18"/>
      <c r="K29" s="22"/>
      <c r="L29" s="22"/>
      <c r="M29" s="39"/>
      <c r="N29" s="37">
        <f t="shared" si="2"/>
        <v>433</v>
      </c>
      <c r="O29" s="16">
        <v>250</v>
      </c>
      <c r="P29" s="21">
        <f t="shared" si="0"/>
        <v>183</v>
      </c>
    </row>
    <row r="30" spans="1:16">
      <c r="A30" s="15">
        <v>29</v>
      </c>
      <c r="B30" s="40" t="s">
        <v>35</v>
      </c>
      <c r="C30" s="41">
        <v>75</v>
      </c>
      <c r="D30" s="24">
        <v>73</v>
      </c>
      <c r="E30" s="24">
        <v>74</v>
      </c>
      <c r="F30" s="24">
        <v>71</v>
      </c>
      <c r="G30" s="24">
        <v>71</v>
      </c>
      <c r="H30" s="24">
        <v>70</v>
      </c>
      <c r="I30" s="24">
        <v>50</v>
      </c>
      <c r="J30" s="24"/>
      <c r="K30" s="25"/>
      <c r="L30" s="25"/>
      <c r="M30" s="42"/>
      <c r="N30" s="37">
        <f t="shared" si="2"/>
        <v>484</v>
      </c>
      <c r="O30" s="41">
        <v>250</v>
      </c>
      <c r="P30" s="24">
        <f t="shared" si="0"/>
        <v>234</v>
      </c>
    </row>
    <row r="31" spans="1:16">
      <c r="A31" s="19">
        <v>30</v>
      </c>
      <c r="B31" s="38" t="s">
        <v>36</v>
      </c>
      <c r="C31" s="16">
        <v>71</v>
      </c>
      <c r="D31" s="18">
        <v>62</v>
      </c>
      <c r="E31" s="18">
        <v>67</v>
      </c>
      <c r="F31" s="18">
        <v>70</v>
      </c>
      <c r="G31" s="18">
        <v>69</v>
      </c>
      <c r="H31" s="18">
        <v>68</v>
      </c>
      <c r="I31" s="18">
        <v>37</v>
      </c>
      <c r="J31" s="18"/>
      <c r="K31" s="22"/>
      <c r="L31" s="22"/>
      <c r="M31" s="39"/>
      <c r="N31" s="37">
        <f t="shared" si="2"/>
        <v>444</v>
      </c>
      <c r="O31" s="16">
        <v>250</v>
      </c>
      <c r="P31" s="18">
        <f t="shared" si="0"/>
        <v>194</v>
      </c>
    </row>
    <row r="32" spans="1:16">
      <c r="A32" s="15">
        <v>31</v>
      </c>
      <c r="B32" s="40" t="s">
        <v>37</v>
      </c>
      <c r="C32" s="41">
        <v>71</v>
      </c>
      <c r="D32" s="24">
        <v>64</v>
      </c>
      <c r="E32" s="24">
        <v>61</v>
      </c>
      <c r="F32" s="24">
        <v>59</v>
      </c>
      <c r="G32" s="24">
        <v>74</v>
      </c>
      <c r="H32" s="24">
        <v>68</v>
      </c>
      <c r="I32" s="24">
        <v>72</v>
      </c>
      <c r="J32" s="24">
        <v>73</v>
      </c>
      <c r="K32" s="25">
        <v>24</v>
      </c>
      <c r="L32" s="25"/>
      <c r="M32" s="25"/>
      <c r="N32" s="37">
        <f t="shared" si="2"/>
        <v>566</v>
      </c>
      <c r="O32" s="41">
        <v>250</v>
      </c>
      <c r="P32" s="24">
        <f t="shared" si="0"/>
        <v>316</v>
      </c>
    </row>
    <row r="33" spans="1:16">
      <c r="A33" s="26"/>
      <c r="B33" s="43"/>
      <c r="C33" s="145" t="s">
        <v>24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44">
        <f>SUM(N20:N32)</f>
        <v>6191</v>
      </c>
      <c r="O33" s="30"/>
      <c r="P33" s="31"/>
    </row>
    <row r="34" spans="1:16">
      <c r="A34" s="45">
        <v>32</v>
      </c>
      <c r="B34" s="45" t="s">
        <v>38</v>
      </c>
      <c r="C34" s="46">
        <v>74</v>
      </c>
      <c r="D34" s="47">
        <v>74</v>
      </c>
      <c r="E34" s="47">
        <v>76</v>
      </c>
      <c r="F34" s="47">
        <v>66</v>
      </c>
      <c r="G34" s="47">
        <v>78</v>
      </c>
      <c r="H34" s="47">
        <v>71</v>
      </c>
      <c r="I34" s="47">
        <v>74</v>
      </c>
      <c r="J34" s="47">
        <v>10</v>
      </c>
      <c r="K34" s="47"/>
      <c r="L34" s="47"/>
      <c r="M34" s="48"/>
      <c r="N34" s="8">
        <f>SUM(C34:M34)</f>
        <v>523</v>
      </c>
      <c r="O34" s="16">
        <v>250</v>
      </c>
      <c r="P34" s="21">
        <f t="shared" ref="P34:P38" si="3">N34-O34</f>
        <v>273</v>
      </c>
    </row>
    <row r="35" spans="1:16">
      <c r="A35" s="17">
        <v>33</v>
      </c>
      <c r="B35" s="17" t="s">
        <v>39</v>
      </c>
      <c r="C35" s="49"/>
      <c r="D35" s="50"/>
      <c r="E35" s="50"/>
      <c r="F35" s="50"/>
      <c r="G35" s="50"/>
      <c r="H35" s="50"/>
      <c r="I35" s="50"/>
      <c r="J35" s="50"/>
      <c r="K35" s="50"/>
      <c r="L35" s="50"/>
      <c r="M35" s="51"/>
      <c r="N35" s="8">
        <f t="shared" ref="N35:N38" si="4">SUM(C35:M35)</f>
        <v>0</v>
      </c>
      <c r="O35" s="16">
        <v>250</v>
      </c>
      <c r="P35" s="18">
        <f t="shared" si="3"/>
        <v>-250</v>
      </c>
    </row>
    <row r="36" spans="1:16">
      <c r="A36" s="17">
        <v>34</v>
      </c>
      <c r="B36" s="17" t="s">
        <v>41</v>
      </c>
      <c r="C36" s="49">
        <v>70</v>
      </c>
      <c r="D36" s="50">
        <v>81</v>
      </c>
      <c r="E36" s="50">
        <v>82</v>
      </c>
      <c r="F36" s="50">
        <v>81</v>
      </c>
      <c r="G36" s="50">
        <v>80</v>
      </c>
      <c r="H36" s="50">
        <v>33</v>
      </c>
      <c r="I36" s="50"/>
      <c r="J36" s="50"/>
      <c r="K36" s="50"/>
      <c r="L36" s="50"/>
      <c r="M36" s="51"/>
      <c r="N36" s="8">
        <f t="shared" si="4"/>
        <v>427</v>
      </c>
      <c r="O36" s="16">
        <v>250</v>
      </c>
      <c r="P36" s="21">
        <f t="shared" si="3"/>
        <v>177</v>
      </c>
    </row>
    <row r="37" spans="1:16">
      <c r="A37" s="52">
        <v>35</v>
      </c>
      <c r="B37" s="52" t="s">
        <v>42</v>
      </c>
      <c r="C37" s="49">
        <v>80</v>
      </c>
      <c r="D37" s="50">
        <v>70</v>
      </c>
      <c r="E37" s="50">
        <v>74</v>
      </c>
      <c r="F37" s="50">
        <v>68</v>
      </c>
      <c r="G37" s="50">
        <v>77</v>
      </c>
      <c r="H37" s="50">
        <v>46</v>
      </c>
      <c r="I37" s="50"/>
      <c r="J37" s="50"/>
      <c r="K37" s="50"/>
      <c r="L37" s="50"/>
      <c r="M37" s="51"/>
      <c r="N37" s="8">
        <f t="shared" si="4"/>
        <v>415</v>
      </c>
      <c r="O37" s="16">
        <v>250</v>
      </c>
      <c r="P37" s="18">
        <f t="shared" si="3"/>
        <v>165</v>
      </c>
    </row>
    <row r="38" spans="1:16">
      <c r="A38" s="52">
        <v>36</v>
      </c>
      <c r="B38" s="52" t="s">
        <v>43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5"/>
      <c r="N38" s="8">
        <f t="shared" si="4"/>
        <v>0</v>
      </c>
      <c r="O38" s="41">
        <v>250</v>
      </c>
      <c r="P38" s="56">
        <f t="shared" si="3"/>
        <v>-250</v>
      </c>
    </row>
    <row r="39" spans="1:16">
      <c r="A39" s="57"/>
      <c r="B39" s="58"/>
      <c r="C39" s="143" t="s">
        <v>24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29">
        <f>SUM(N37,N36,N34)</f>
        <v>1365</v>
      </c>
      <c r="O39" s="59"/>
      <c r="P39" s="60"/>
    </row>
    <row r="40" spans="1:16">
      <c r="A40" s="8">
        <v>37</v>
      </c>
      <c r="B40" s="61" t="s">
        <v>44</v>
      </c>
      <c r="C40" s="62">
        <v>75</v>
      </c>
      <c r="D40" s="63">
        <v>73</v>
      </c>
      <c r="E40" s="63">
        <v>82</v>
      </c>
      <c r="F40" s="63">
        <v>76</v>
      </c>
      <c r="G40" s="63">
        <v>78</v>
      </c>
      <c r="H40" s="63">
        <v>70</v>
      </c>
      <c r="I40" s="63">
        <v>70</v>
      </c>
      <c r="J40" s="63">
        <v>68</v>
      </c>
      <c r="K40" s="63"/>
      <c r="L40" s="63"/>
      <c r="M40" s="64"/>
      <c r="N40" s="8">
        <f>SUM(C40:M40)</f>
        <v>592</v>
      </c>
      <c r="O40" s="16">
        <v>250</v>
      </c>
      <c r="P40" s="18">
        <f t="shared" ref="P40:P41" si="5">N40-O40</f>
        <v>342</v>
      </c>
    </row>
    <row r="41" spans="1:16">
      <c r="A41" s="15">
        <v>38</v>
      </c>
      <c r="B41" s="65" t="s">
        <v>45</v>
      </c>
      <c r="C41" s="66">
        <v>69</v>
      </c>
      <c r="D41" s="67">
        <v>75</v>
      </c>
      <c r="E41" s="67">
        <v>57</v>
      </c>
      <c r="F41" s="67">
        <v>67</v>
      </c>
      <c r="G41" s="67">
        <v>75</v>
      </c>
      <c r="H41" s="67">
        <v>63</v>
      </c>
      <c r="I41" s="67">
        <v>36</v>
      </c>
      <c r="J41" s="67"/>
      <c r="K41" s="67"/>
      <c r="L41" s="67"/>
      <c r="M41" s="68"/>
      <c r="N41" s="8">
        <f>SUM(C41:M41)</f>
        <v>442</v>
      </c>
      <c r="O41" s="16">
        <v>250</v>
      </c>
      <c r="P41" s="18">
        <f t="shared" si="5"/>
        <v>192</v>
      </c>
    </row>
    <row r="42" spans="1:16">
      <c r="A42" s="71"/>
      <c r="B42" s="30"/>
      <c r="C42" s="143" t="s">
        <v>24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8"/>
      <c r="N42" s="72">
        <f>SUM(N40:N41)</f>
        <v>1034</v>
      </c>
      <c r="O42" s="73"/>
      <c r="P42" s="74"/>
    </row>
    <row r="43" spans="1:16">
      <c r="A43" s="75"/>
      <c r="B43" s="76" t="s">
        <v>46</v>
      </c>
      <c r="C43" s="77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80">
        <f>N42+N39+N33+N19</f>
        <v>15819</v>
      </c>
      <c r="O43" s="81"/>
      <c r="P43" s="79"/>
    </row>
  </sheetData>
  <mergeCells count="5">
    <mergeCell ref="C2:M2"/>
    <mergeCell ref="C19:M19"/>
    <mergeCell ref="C33:M33"/>
    <mergeCell ref="C39:M39"/>
    <mergeCell ref="C42:M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67FC-E64B-4ADA-AD92-69E37226F2B5}">
  <dimension ref="A1:P43"/>
  <sheetViews>
    <sheetView topLeftCell="A28" workbookViewId="0">
      <selection activeCell="K28" sqref="K28"/>
    </sheetView>
  </sheetViews>
  <sheetFormatPr defaultRowHeight="15"/>
  <cols>
    <col min="2" max="2" width="20.85546875" customWidth="1"/>
    <col min="3" max="4" width="3.5703125" customWidth="1"/>
    <col min="5" max="5" width="3" customWidth="1"/>
    <col min="6" max="6" width="3.140625" customWidth="1"/>
    <col min="7" max="7" width="4" customWidth="1"/>
    <col min="8" max="9" width="3.28515625" customWidth="1"/>
    <col min="10" max="10" width="3.42578125" customWidth="1"/>
    <col min="11" max="11" width="3.140625" customWidth="1"/>
    <col min="12" max="12" width="4.140625" customWidth="1"/>
  </cols>
  <sheetData>
    <row r="1" spans="1:16" ht="15.75">
      <c r="A1" s="1"/>
      <c r="B1" s="2" t="s">
        <v>49</v>
      </c>
      <c r="L1">
        <v>62</v>
      </c>
      <c r="N1" s="3" t="s">
        <v>47</v>
      </c>
    </row>
    <row r="2" spans="1:16">
      <c r="A2" s="3" t="s">
        <v>2</v>
      </c>
      <c r="B2" s="4" t="s">
        <v>3</v>
      </c>
      <c r="C2" s="143" t="s">
        <v>4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3" t="s">
        <v>5</v>
      </c>
      <c r="O2" s="6" t="s">
        <v>6</v>
      </c>
      <c r="P2" s="7" t="s">
        <v>7</v>
      </c>
    </row>
    <row r="3" spans="1:16">
      <c r="A3" s="8">
        <v>1</v>
      </c>
      <c r="B3" s="9" t="s">
        <v>8</v>
      </c>
      <c r="C3" s="10">
        <v>72</v>
      </c>
      <c r="D3" s="11">
        <v>74</v>
      </c>
      <c r="E3" s="11">
        <v>82</v>
      </c>
      <c r="F3" s="11">
        <v>81</v>
      </c>
      <c r="G3" s="11">
        <v>70</v>
      </c>
      <c r="H3" s="11">
        <v>74</v>
      </c>
      <c r="I3" s="12">
        <v>88</v>
      </c>
      <c r="J3" s="13">
        <v>93</v>
      </c>
      <c r="K3" s="13">
        <v>88</v>
      </c>
      <c r="L3" s="13">
        <v>129</v>
      </c>
      <c r="M3" s="14">
        <v>45</v>
      </c>
      <c r="N3" s="8">
        <f>SUM(C3:M3)</f>
        <v>896</v>
      </c>
      <c r="O3" s="9">
        <v>250</v>
      </c>
      <c r="P3" s="18">
        <f t="shared" ref="P3:P33" si="0">N3-O3</f>
        <v>646</v>
      </c>
    </row>
    <row r="4" spans="1:16">
      <c r="A4" s="15">
        <v>2</v>
      </c>
      <c r="B4" s="16" t="s">
        <v>9</v>
      </c>
      <c r="C4" s="17">
        <v>73</v>
      </c>
      <c r="D4" s="18">
        <v>69</v>
      </c>
      <c r="E4" s="18">
        <v>70</v>
      </c>
      <c r="F4" s="18">
        <v>71</v>
      </c>
      <c r="G4" s="18">
        <v>100</v>
      </c>
      <c r="H4" s="18">
        <v>99</v>
      </c>
      <c r="I4" s="18">
        <v>95</v>
      </c>
      <c r="J4" s="13">
        <v>69</v>
      </c>
      <c r="K4" s="13">
        <v>71</v>
      </c>
      <c r="L4" s="13">
        <v>70</v>
      </c>
      <c r="M4" s="14">
        <v>6</v>
      </c>
      <c r="N4" s="8">
        <f t="shared" ref="N4:N18" si="1">SUM(C4:M4)</f>
        <v>793</v>
      </c>
      <c r="O4" s="16">
        <v>250</v>
      </c>
      <c r="P4" s="18">
        <f t="shared" si="0"/>
        <v>543</v>
      </c>
    </row>
    <row r="5" spans="1:16">
      <c r="A5" s="19">
        <v>3</v>
      </c>
      <c r="B5" s="16" t="s">
        <v>10</v>
      </c>
      <c r="C5" s="20">
        <v>79</v>
      </c>
      <c r="D5" s="13">
        <v>90</v>
      </c>
      <c r="E5" s="13">
        <v>78</v>
      </c>
      <c r="F5" s="13">
        <v>85</v>
      </c>
      <c r="G5" s="13">
        <v>70</v>
      </c>
      <c r="H5" s="13">
        <v>67</v>
      </c>
      <c r="I5" s="13">
        <v>70</v>
      </c>
      <c r="J5" s="13">
        <v>83</v>
      </c>
      <c r="K5" s="13">
        <v>75</v>
      </c>
      <c r="L5" s="13">
        <v>33</v>
      </c>
      <c r="M5" s="14"/>
      <c r="N5" s="8">
        <f t="shared" si="1"/>
        <v>730</v>
      </c>
      <c r="O5" s="16">
        <v>250</v>
      </c>
      <c r="P5" s="21">
        <f t="shared" si="0"/>
        <v>480</v>
      </c>
    </row>
    <row r="6" spans="1:16">
      <c r="A6" s="15">
        <v>4</v>
      </c>
      <c r="B6" s="16" t="s">
        <v>11</v>
      </c>
      <c r="C6" s="20">
        <v>71</v>
      </c>
      <c r="D6" s="18">
        <v>69</v>
      </c>
      <c r="E6" s="18">
        <v>85</v>
      </c>
      <c r="F6" s="18">
        <v>77</v>
      </c>
      <c r="G6" s="18">
        <v>74</v>
      </c>
      <c r="H6" s="18">
        <v>68</v>
      </c>
      <c r="I6" s="18">
        <v>71</v>
      </c>
      <c r="J6" s="18">
        <v>27</v>
      </c>
      <c r="K6" s="18"/>
      <c r="L6" s="18"/>
      <c r="M6" s="22"/>
      <c r="N6" s="8">
        <f t="shared" si="1"/>
        <v>542</v>
      </c>
      <c r="O6" s="16">
        <v>250</v>
      </c>
      <c r="P6" s="18">
        <f>N6-O6</f>
        <v>292</v>
      </c>
    </row>
    <row r="7" spans="1:16">
      <c r="A7" s="19">
        <v>5</v>
      </c>
      <c r="B7" s="16" t="s">
        <v>12</v>
      </c>
      <c r="C7" s="20">
        <v>66</v>
      </c>
      <c r="D7" s="18">
        <v>72</v>
      </c>
      <c r="E7" s="18">
        <v>69</v>
      </c>
      <c r="F7" s="18">
        <v>67</v>
      </c>
      <c r="G7" s="18">
        <v>61</v>
      </c>
      <c r="H7" s="18">
        <v>61</v>
      </c>
      <c r="I7" s="18">
        <v>71</v>
      </c>
      <c r="J7" s="18">
        <v>56</v>
      </c>
      <c r="K7" s="18">
        <v>67</v>
      </c>
      <c r="L7" s="18"/>
      <c r="M7" s="22"/>
      <c r="N7" s="8">
        <f t="shared" si="1"/>
        <v>590</v>
      </c>
      <c r="O7" s="16">
        <v>250</v>
      </c>
      <c r="P7" s="18">
        <f t="shared" si="0"/>
        <v>340</v>
      </c>
    </row>
    <row r="8" spans="1:16">
      <c r="A8" s="15">
        <v>6</v>
      </c>
      <c r="B8" s="16" t="s">
        <v>13</v>
      </c>
      <c r="C8" s="20">
        <v>87</v>
      </c>
      <c r="D8" s="18">
        <v>83</v>
      </c>
      <c r="E8" s="18">
        <v>76</v>
      </c>
      <c r="F8" s="18">
        <v>78</v>
      </c>
      <c r="G8" s="18">
        <v>82</v>
      </c>
      <c r="H8" s="18">
        <v>74</v>
      </c>
      <c r="I8" s="18">
        <v>81</v>
      </c>
      <c r="J8" s="18"/>
      <c r="K8" s="18"/>
      <c r="L8" s="18"/>
      <c r="M8" s="22"/>
      <c r="N8" s="8">
        <f t="shared" si="1"/>
        <v>561</v>
      </c>
      <c r="O8" s="16">
        <v>250</v>
      </c>
      <c r="P8" s="18">
        <f t="shared" si="0"/>
        <v>311</v>
      </c>
    </row>
    <row r="9" spans="1:16">
      <c r="A9" s="19">
        <v>7</v>
      </c>
      <c r="B9" s="16" t="s">
        <v>14</v>
      </c>
      <c r="C9" s="20"/>
      <c r="D9" s="18"/>
      <c r="E9" s="18"/>
      <c r="F9" s="18"/>
      <c r="G9" s="18"/>
      <c r="H9" s="18"/>
      <c r="I9" s="18"/>
      <c r="J9" s="18"/>
      <c r="K9" s="18"/>
      <c r="L9" s="18"/>
      <c r="M9" s="22"/>
      <c r="N9" s="8">
        <f t="shared" si="1"/>
        <v>0</v>
      </c>
      <c r="O9" s="16">
        <v>250</v>
      </c>
      <c r="P9" s="18">
        <f t="shared" si="0"/>
        <v>-250</v>
      </c>
    </row>
    <row r="10" spans="1:16">
      <c r="A10" s="15">
        <v>8</v>
      </c>
      <c r="B10" s="16" t="s">
        <v>15</v>
      </c>
      <c r="C10" s="20">
        <v>72</v>
      </c>
      <c r="D10" s="18">
        <v>63</v>
      </c>
      <c r="E10" s="18">
        <v>56</v>
      </c>
      <c r="F10" s="18">
        <v>60</v>
      </c>
      <c r="G10" s="18">
        <v>69</v>
      </c>
      <c r="H10" s="18">
        <v>66</v>
      </c>
      <c r="I10" s="18">
        <v>59</v>
      </c>
      <c r="J10" s="18">
        <v>71</v>
      </c>
      <c r="K10" s="18">
        <v>64</v>
      </c>
      <c r="L10" s="18"/>
      <c r="M10" s="22"/>
      <c r="N10" s="8">
        <f t="shared" si="1"/>
        <v>580</v>
      </c>
      <c r="O10" s="16">
        <v>250</v>
      </c>
      <c r="P10" s="18">
        <f t="shared" si="0"/>
        <v>330</v>
      </c>
    </row>
    <row r="11" spans="1:16">
      <c r="A11" s="19">
        <v>9</v>
      </c>
      <c r="B11" s="16" t="s">
        <v>16</v>
      </c>
      <c r="C11" s="20"/>
      <c r="D11" s="18"/>
      <c r="E11" s="18"/>
      <c r="F11" s="18"/>
      <c r="G11" s="18"/>
      <c r="H11" s="18"/>
      <c r="I11" s="18"/>
      <c r="J11" s="18"/>
      <c r="K11" s="18"/>
      <c r="L11" s="18"/>
      <c r="M11" s="22"/>
      <c r="N11" s="8">
        <f t="shared" si="1"/>
        <v>0</v>
      </c>
      <c r="O11" s="16">
        <v>250</v>
      </c>
      <c r="P11" s="18">
        <f t="shared" si="0"/>
        <v>-250</v>
      </c>
    </row>
    <row r="12" spans="1:16">
      <c r="A12" s="15">
        <v>10</v>
      </c>
      <c r="B12" s="16" t="s">
        <v>17</v>
      </c>
      <c r="C12" s="20">
        <v>56</v>
      </c>
      <c r="D12" s="18">
        <v>81</v>
      </c>
      <c r="E12" s="18">
        <v>72</v>
      </c>
      <c r="F12" s="18">
        <v>77</v>
      </c>
      <c r="G12" s="18">
        <v>83</v>
      </c>
      <c r="H12" s="18">
        <v>80</v>
      </c>
      <c r="I12" s="18">
        <v>56</v>
      </c>
      <c r="J12" s="18"/>
      <c r="K12" s="18"/>
      <c r="L12" s="18"/>
      <c r="M12" s="22"/>
      <c r="N12" s="8">
        <f t="shared" si="1"/>
        <v>505</v>
      </c>
      <c r="O12" s="16">
        <v>250</v>
      </c>
      <c r="P12" s="18">
        <f t="shared" si="0"/>
        <v>255</v>
      </c>
    </row>
    <row r="13" spans="1:16">
      <c r="A13" s="19">
        <v>11</v>
      </c>
      <c r="B13" s="16" t="s">
        <v>18</v>
      </c>
      <c r="C13" s="23">
        <v>63</v>
      </c>
      <c r="D13" s="24">
        <v>72</v>
      </c>
      <c r="E13" s="24">
        <v>78</v>
      </c>
      <c r="F13" s="24">
        <v>64</v>
      </c>
      <c r="G13" s="24">
        <v>71</v>
      </c>
      <c r="H13" s="24">
        <v>70</v>
      </c>
      <c r="I13" s="24">
        <v>67</v>
      </c>
      <c r="J13" s="24">
        <v>70</v>
      </c>
      <c r="K13" s="24">
        <v>30</v>
      </c>
      <c r="L13" s="24"/>
      <c r="M13" s="25"/>
      <c r="N13" s="8">
        <f t="shared" si="1"/>
        <v>585</v>
      </c>
      <c r="O13" s="16">
        <v>250</v>
      </c>
      <c r="P13" s="18">
        <f t="shared" si="0"/>
        <v>335</v>
      </c>
    </row>
    <row r="14" spans="1:16">
      <c r="A14" s="15">
        <v>12</v>
      </c>
      <c r="B14" s="16" t="s">
        <v>19</v>
      </c>
      <c r="C14" s="20">
        <v>67</v>
      </c>
      <c r="D14" s="18">
        <v>74</v>
      </c>
      <c r="E14" s="18">
        <v>64</v>
      </c>
      <c r="F14" s="18">
        <v>64</v>
      </c>
      <c r="G14" s="18">
        <v>60</v>
      </c>
      <c r="H14" s="18">
        <v>59</v>
      </c>
      <c r="I14" s="18">
        <v>74</v>
      </c>
      <c r="J14" s="18">
        <v>59</v>
      </c>
      <c r="K14" s="18"/>
      <c r="L14" s="18"/>
      <c r="M14" s="22"/>
      <c r="N14" s="8">
        <f t="shared" si="1"/>
        <v>521</v>
      </c>
      <c r="O14" s="16">
        <v>250</v>
      </c>
      <c r="P14" s="18">
        <f t="shared" si="0"/>
        <v>271</v>
      </c>
    </row>
    <row r="15" spans="1:16">
      <c r="A15" s="19">
        <v>13</v>
      </c>
      <c r="B15" s="16" t="s">
        <v>20</v>
      </c>
      <c r="C15" s="20">
        <v>78</v>
      </c>
      <c r="D15" s="18">
        <v>76</v>
      </c>
      <c r="E15" s="18">
        <v>78</v>
      </c>
      <c r="F15" s="18">
        <v>71</v>
      </c>
      <c r="G15" s="18">
        <v>85</v>
      </c>
      <c r="H15" s="18">
        <v>67</v>
      </c>
      <c r="I15" s="18">
        <v>79</v>
      </c>
      <c r="J15" s="18">
        <v>79</v>
      </c>
      <c r="K15" s="18">
        <v>76</v>
      </c>
      <c r="L15" s="18">
        <v>78</v>
      </c>
      <c r="M15" s="22"/>
      <c r="N15" s="8">
        <f t="shared" si="1"/>
        <v>767</v>
      </c>
      <c r="O15" s="16">
        <v>250</v>
      </c>
      <c r="P15" s="18">
        <f t="shared" si="0"/>
        <v>517</v>
      </c>
    </row>
    <row r="16" spans="1:16">
      <c r="A16" s="15">
        <v>14</v>
      </c>
      <c r="B16" s="16" t="s">
        <v>21</v>
      </c>
      <c r="C16" s="20">
        <v>64</v>
      </c>
      <c r="D16" s="18">
        <v>68</v>
      </c>
      <c r="E16" s="18">
        <v>64</v>
      </c>
      <c r="F16" s="18">
        <v>70</v>
      </c>
      <c r="G16" s="18">
        <v>74</v>
      </c>
      <c r="H16" s="18">
        <v>88</v>
      </c>
      <c r="I16" s="18">
        <v>51</v>
      </c>
      <c r="J16" s="18"/>
      <c r="K16" s="18"/>
      <c r="L16" s="18"/>
      <c r="M16" s="22"/>
      <c r="N16" s="8">
        <f t="shared" si="1"/>
        <v>479</v>
      </c>
      <c r="O16" s="16">
        <v>250</v>
      </c>
      <c r="P16" s="21">
        <f t="shared" si="0"/>
        <v>229</v>
      </c>
    </row>
    <row r="17" spans="1:16">
      <c r="A17" s="19">
        <v>15</v>
      </c>
      <c r="B17" s="16" t="s">
        <v>22</v>
      </c>
      <c r="C17" s="20">
        <v>79</v>
      </c>
      <c r="D17" s="18">
        <v>78</v>
      </c>
      <c r="E17" s="18">
        <v>73</v>
      </c>
      <c r="F17" s="18">
        <v>79</v>
      </c>
      <c r="G17" s="18">
        <v>82</v>
      </c>
      <c r="H17" s="18">
        <v>78</v>
      </c>
      <c r="I17" s="18">
        <v>47</v>
      </c>
      <c r="J17" s="18"/>
      <c r="K17" s="18"/>
      <c r="L17" s="18"/>
      <c r="M17" s="22"/>
      <c r="N17" s="8">
        <f t="shared" si="1"/>
        <v>516</v>
      </c>
      <c r="O17" s="16">
        <v>250</v>
      </c>
      <c r="P17" s="18">
        <f t="shared" si="0"/>
        <v>266</v>
      </c>
    </row>
    <row r="18" spans="1:16">
      <c r="A18" s="15">
        <v>16</v>
      </c>
      <c r="B18" s="16" t="s">
        <v>23</v>
      </c>
      <c r="C18" s="20">
        <v>74</v>
      </c>
      <c r="D18" s="18">
        <v>78</v>
      </c>
      <c r="E18" s="18">
        <v>76</v>
      </c>
      <c r="F18" s="18">
        <v>65</v>
      </c>
      <c r="G18" s="18">
        <v>78</v>
      </c>
      <c r="H18" s="18">
        <v>64</v>
      </c>
      <c r="I18" s="18">
        <v>25</v>
      </c>
      <c r="J18" s="18"/>
      <c r="K18" s="18"/>
      <c r="L18" s="18"/>
      <c r="M18" s="22"/>
      <c r="N18" s="8">
        <f t="shared" si="1"/>
        <v>460</v>
      </c>
      <c r="O18" s="16">
        <v>250</v>
      </c>
      <c r="P18" s="18">
        <f t="shared" si="0"/>
        <v>210</v>
      </c>
    </row>
    <row r="19" spans="1:16">
      <c r="A19" s="26"/>
      <c r="B19" s="27"/>
      <c r="C19" s="144" t="s">
        <v>24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29">
        <f>SUM(N3:N18)</f>
        <v>8525</v>
      </c>
      <c r="O19" s="30"/>
      <c r="P19" s="31"/>
    </row>
    <row r="20" spans="1:16">
      <c r="A20" s="8">
        <v>18</v>
      </c>
      <c r="B20" s="32" t="s">
        <v>25</v>
      </c>
      <c r="C20" s="33">
        <v>69</v>
      </c>
      <c r="D20" s="34">
        <v>69</v>
      </c>
      <c r="E20" s="34">
        <v>77</v>
      </c>
      <c r="F20" s="34">
        <v>76</v>
      </c>
      <c r="G20" s="34">
        <v>74</v>
      </c>
      <c r="H20" s="34">
        <v>69</v>
      </c>
      <c r="I20" s="34">
        <v>71</v>
      </c>
      <c r="J20" s="34">
        <v>76</v>
      </c>
      <c r="K20" s="35">
        <v>36</v>
      </c>
      <c r="L20" s="35"/>
      <c r="M20" s="36"/>
      <c r="N20" s="37">
        <f>SUM(C20:M20)</f>
        <v>617</v>
      </c>
      <c r="O20" s="9">
        <v>250</v>
      </c>
      <c r="P20" s="13">
        <f t="shared" si="0"/>
        <v>367</v>
      </c>
    </row>
    <row r="21" spans="1:16">
      <c r="A21" s="19">
        <v>20</v>
      </c>
      <c r="B21" s="38" t="s">
        <v>26</v>
      </c>
      <c r="C21" s="20">
        <v>81</v>
      </c>
      <c r="D21" s="18">
        <v>75</v>
      </c>
      <c r="E21" s="18">
        <v>82</v>
      </c>
      <c r="F21" s="18">
        <v>75</v>
      </c>
      <c r="G21" s="18">
        <v>70</v>
      </c>
      <c r="H21" s="18">
        <v>58</v>
      </c>
      <c r="I21" s="18">
        <v>69</v>
      </c>
      <c r="J21" s="18">
        <v>69</v>
      </c>
      <c r="K21" s="22">
        <v>87</v>
      </c>
      <c r="L21" s="22">
        <v>37</v>
      </c>
      <c r="M21" s="39"/>
      <c r="N21" s="37">
        <f t="shared" ref="N21:N32" si="2">SUM(C21:M21)</f>
        <v>703</v>
      </c>
      <c r="O21" s="16">
        <v>250</v>
      </c>
      <c r="P21" s="18">
        <f t="shared" si="0"/>
        <v>453</v>
      </c>
    </row>
    <row r="22" spans="1:16">
      <c r="A22" s="15">
        <v>21</v>
      </c>
      <c r="B22" s="38" t="s">
        <v>27</v>
      </c>
      <c r="C22" s="16">
        <v>73</v>
      </c>
      <c r="D22" s="18">
        <v>77</v>
      </c>
      <c r="E22" s="18">
        <v>78</v>
      </c>
      <c r="F22" s="18">
        <v>75</v>
      </c>
      <c r="G22" s="18">
        <v>70</v>
      </c>
      <c r="H22" s="18">
        <v>81</v>
      </c>
      <c r="I22" s="18">
        <v>62</v>
      </c>
      <c r="J22" s="18">
        <v>41</v>
      </c>
      <c r="K22" s="22"/>
      <c r="L22" s="22"/>
      <c r="M22" s="39"/>
      <c r="N22" s="37">
        <f t="shared" si="2"/>
        <v>557</v>
      </c>
      <c r="O22" s="16">
        <v>250</v>
      </c>
      <c r="P22" s="18">
        <f t="shared" si="0"/>
        <v>307</v>
      </c>
    </row>
    <row r="23" spans="1:16">
      <c r="A23" s="19">
        <v>22</v>
      </c>
      <c r="B23" s="38" t="s">
        <v>28</v>
      </c>
      <c r="C23" s="16">
        <v>90</v>
      </c>
      <c r="D23" s="18">
        <v>83</v>
      </c>
      <c r="E23" s="18">
        <v>72</v>
      </c>
      <c r="F23" s="18">
        <v>87</v>
      </c>
      <c r="G23" s="18">
        <v>68</v>
      </c>
      <c r="H23" s="18"/>
      <c r="I23" s="18"/>
      <c r="J23" s="18"/>
      <c r="K23" s="22"/>
      <c r="L23" s="22"/>
      <c r="M23" s="39"/>
      <c r="N23" s="37">
        <f t="shared" si="2"/>
        <v>400</v>
      </c>
      <c r="O23" s="16">
        <v>250</v>
      </c>
      <c r="P23" s="18">
        <f t="shared" si="0"/>
        <v>150</v>
      </c>
    </row>
    <row r="24" spans="1:16">
      <c r="A24" s="15">
        <v>23</v>
      </c>
      <c r="B24" s="38" t="s">
        <v>29</v>
      </c>
      <c r="C24" s="16"/>
      <c r="D24" s="18"/>
      <c r="E24" s="18"/>
      <c r="F24" s="18"/>
      <c r="G24" s="18"/>
      <c r="H24" s="18"/>
      <c r="I24" s="18"/>
      <c r="J24" s="18"/>
      <c r="K24" s="22"/>
      <c r="L24" s="22"/>
      <c r="M24" s="39"/>
      <c r="N24" s="37">
        <f t="shared" si="2"/>
        <v>0</v>
      </c>
      <c r="O24" s="16">
        <v>250</v>
      </c>
      <c r="P24" s="18">
        <f t="shared" si="0"/>
        <v>-250</v>
      </c>
    </row>
    <row r="25" spans="1:16">
      <c r="A25" s="19">
        <v>24</v>
      </c>
      <c r="B25" s="38" t="s">
        <v>30</v>
      </c>
      <c r="C25" s="16">
        <v>75</v>
      </c>
      <c r="D25" s="18">
        <v>78</v>
      </c>
      <c r="E25" s="18">
        <v>71</v>
      </c>
      <c r="F25" s="18">
        <v>61</v>
      </c>
      <c r="G25" s="18">
        <v>77</v>
      </c>
      <c r="H25" s="18">
        <v>72</v>
      </c>
      <c r="I25" s="18">
        <v>25</v>
      </c>
      <c r="J25" s="18"/>
      <c r="K25" s="22"/>
      <c r="L25" s="22"/>
      <c r="M25" s="39"/>
      <c r="N25" s="37">
        <f t="shared" si="2"/>
        <v>459</v>
      </c>
      <c r="O25" s="16">
        <v>250</v>
      </c>
      <c r="P25" s="21">
        <f t="shared" si="0"/>
        <v>209</v>
      </c>
    </row>
    <row r="26" spans="1:16">
      <c r="A26" s="15">
        <v>25</v>
      </c>
      <c r="B26" s="38" t="s">
        <v>31</v>
      </c>
      <c r="C26" s="16">
        <v>79</v>
      </c>
      <c r="D26" s="18">
        <v>76</v>
      </c>
      <c r="E26" s="18">
        <v>66</v>
      </c>
      <c r="F26" s="18">
        <v>75</v>
      </c>
      <c r="G26" s="18">
        <v>69</v>
      </c>
      <c r="H26" s="18">
        <v>65</v>
      </c>
      <c r="I26" s="18">
        <v>65</v>
      </c>
      <c r="J26" s="18">
        <v>79</v>
      </c>
      <c r="K26" s="22">
        <v>51</v>
      </c>
      <c r="L26" s="22"/>
      <c r="M26" s="39"/>
      <c r="N26" s="37">
        <f t="shared" si="2"/>
        <v>625</v>
      </c>
      <c r="O26" s="16">
        <v>250</v>
      </c>
      <c r="P26" s="18">
        <f t="shared" si="0"/>
        <v>375</v>
      </c>
    </row>
    <row r="27" spans="1:16">
      <c r="A27" s="19">
        <v>26</v>
      </c>
      <c r="B27" s="38" t="s">
        <v>32</v>
      </c>
      <c r="C27" s="16">
        <v>80</v>
      </c>
      <c r="D27" s="18">
        <v>78</v>
      </c>
      <c r="E27" s="18">
        <v>65</v>
      </c>
      <c r="F27" s="18">
        <v>73</v>
      </c>
      <c r="G27" s="18">
        <v>79</v>
      </c>
      <c r="H27" s="18">
        <v>77</v>
      </c>
      <c r="I27" s="18">
        <v>82</v>
      </c>
      <c r="J27" s="18">
        <v>73</v>
      </c>
      <c r="K27" s="22"/>
      <c r="L27" s="22"/>
      <c r="M27" s="39"/>
      <c r="N27" s="37">
        <f t="shared" si="2"/>
        <v>607</v>
      </c>
      <c r="O27" s="16">
        <v>250</v>
      </c>
      <c r="P27" s="21">
        <f t="shared" si="0"/>
        <v>357</v>
      </c>
    </row>
    <row r="28" spans="1:16">
      <c r="A28" s="15">
        <v>27</v>
      </c>
      <c r="B28" s="38" t="s">
        <v>33</v>
      </c>
      <c r="C28" s="16">
        <v>81</v>
      </c>
      <c r="D28" s="18">
        <v>75</v>
      </c>
      <c r="E28" s="18">
        <v>75</v>
      </c>
      <c r="F28" s="18">
        <v>69</v>
      </c>
      <c r="G28" s="18">
        <v>67</v>
      </c>
      <c r="H28" s="18">
        <v>61</v>
      </c>
      <c r="I28" s="18">
        <v>67</v>
      </c>
      <c r="J28" s="18">
        <v>35</v>
      </c>
      <c r="K28" s="22"/>
      <c r="L28" s="22"/>
      <c r="M28" s="39"/>
      <c r="N28" s="37">
        <f t="shared" si="2"/>
        <v>530</v>
      </c>
      <c r="O28" s="16">
        <v>250</v>
      </c>
      <c r="P28" s="18">
        <f t="shared" si="0"/>
        <v>280</v>
      </c>
    </row>
    <row r="29" spans="1:16">
      <c r="A29" s="19">
        <v>28</v>
      </c>
      <c r="B29" s="38" t="s">
        <v>34</v>
      </c>
      <c r="C29" s="16">
        <v>59</v>
      </c>
      <c r="D29" s="18">
        <v>60</v>
      </c>
      <c r="E29" s="18">
        <v>64</v>
      </c>
      <c r="F29" s="18">
        <v>58</v>
      </c>
      <c r="G29" s="18">
        <v>60</v>
      </c>
      <c r="H29" s="18">
        <v>69</v>
      </c>
      <c r="I29" s="18">
        <v>65</v>
      </c>
      <c r="J29" s="18">
        <v>61</v>
      </c>
      <c r="K29" s="22">
        <v>25</v>
      </c>
      <c r="L29" s="22"/>
      <c r="M29" s="39"/>
      <c r="N29" s="37">
        <f t="shared" si="2"/>
        <v>521</v>
      </c>
      <c r="O29" s="16">
        <v>250</v>
      </c>
      <c r="P29" s="21">
        <f t="shared" si="0"/>
        <v>271</v>
      </c>
    </row>
    <row r="30" spans="1:16">
      <c r="A30" s="15">
        <v>29</v>
      </c>
      <c r="B30" s="40" t="s">
        <v>35</v>
      </c>
      <c r="C30" s="41">
        <v>77</v>
      </c>
      <c r="D30" s="24">
        <v>68</v>
      </c>
      <c r="E30" s="24">
        <v>75</v>
      </c>
      <c r="F30" s="24">
        <v>79</v>
      </c>
      <c r="G30" s="24">
        <v>68</v>
      </c>
      <c r="H30" s="24">
        <v>67</v>
      </c>
      <c r="I30" s="24">
        <v>37</v>
      </c>
      <c r="J30" s="24"/>
      <c r="K30" s="25"/>
      <c r="L30" s="25"/>
      <c r="M30" s="42"/>
      <c r="N30" s="37">
        <f t="shared" si="2"/>
        <v>471</v>
      </c>
      <c r="O30" s="41">
        <v>250</v>
      </c>
      <c r="P30" s="24">
        <f t="shared" si="0"/>
        <v>221</v>
      </c>
    </row>
    <row r="31" spans="1:16">
      <c r="A31" s="19">
        <v>30</v>
      </c>
      <c r="B31" s="38" t="s">
        <v>36</v>
      </c>
      <c r="C31" s="16">
        <v>73</v>
      </c>
      <c r="D31" s="18">
        <v>82</v>
      </c>
      <c r="E31" s="18">
        <v>70</v>
      </c>
      <c r="F31" s="18">
        <v>71</v>
      </c>
      <c r="G31" s="18">
        <v>65</v>
      </c>
      <c r="H31" s="18">
        <v>69</v>
      </c>
      <c r="I31" s="18">
        <v>68</v>
      </c>
      <c r="J31" s="18"/>
      <c r="K31" s="22"/>
      <c r="L31" s="22"/>
      <c r="M31" s="39"/>
      <c r="N31" s="37">
        <f t="shared" si="2"/>
        <v>498</v>
      </c>
      <c r="O31" s="16">
        <v>250</v>
      </c>
      <c r="P31" s="18">
        <f t="shared" si="0"/>
        <v>248</v>
      </c>
    </row>
    <row r="32" spans="1:16">
      <c r="A32" s="15">
        <v>31</v>
      </c>
      <c r="B32" s="40" t="s">
        <v>37</v>
      </c>
      <c r="C32" s="41">
        <v>74</v>
      </c>
      <c r="D32" s="24">
        <v>81</v>
      </c>
      <c r="E32" s="24">
        <v>77</v>
      </c>
      <c r="F32" s="24">
        <v>81</v>
      </c>
      <c r="G32" s="24">
        <v>79</v>
      </c>
      <c r="H32" s="24">
        <v>81</v>
      </c>
      <c r="I32" s="24">
        <v>72</v>
      </c>
      <c r="J32" s="24">
        <v>75</v>
      </c>
      <c r="K32" s="25">
        <v>39</v>
      </c>
      <c r="L32" s="25"/>
      <c r="M32" s="25"/>
      <c r="N32" s="37">
        <f t="shared" si="2"/>
        <v>659</v>
      </c>
      <c r="O32" s="41">
        <v>250</v>
      </c>
      <c r="P32" s="24">
        <f t="shared" si="0"/>
        <v>409</v>
      </c>
    </row>
    <row r="33" spans="1:16">
      <c r="A33" s="26"/>
      <c r="B33" s="43"/>
      <c r="C33" s="145" t="s">
        <v>24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44">
        <f>SUM(N20:N32)</f>
        <v>6647</v>
      </c>
      <c r="O33" s="30"/>
      <c r="P33" s="31"/>
    </row>
    <row r="34" spans="1:16">
      <c r="A34" s="45">
        <v>32</v>
      </c>
      <c r="B34" s="45" t="s">
        <v>38</v>
      </c>
      <c r="C34" s="46">
        <v>70</v>
      </c>
      <c r="D34" s="47">
        <v>82</v>
      </c>
      <c r="E34" s="47">
        <v>83</v>
      </c>
      <c r="F34" s="47">
        <v>78</v>
      </c>
      <c r="G34" s="47">
        <v>86</v>
      </c>
      <c r="H34" s="47">
        <v>73</v>
      </c>
      <c r="I34" s="47">
        <v>27</v>
      </c>
      <c r="J34" s="47"/>
      <c r="K34" s="47"/>
      <c r="L34" s="47"/>
      <c r="M34" s="48"/>
      <c r="N34" s="8">
        <f>SUM(C34:M34)</f>
        <v>499</v>
      </c>
      <c r="O34" s="16">
        <v>250</v>
      </c>
      <c r="P34" s="21">
        <f t="shared" ref="P34:P38" si="3">N34-O34</f>
        <v>249</v>
      </c>
    </row>
    <row r="35" spans="1:16">
      <c r="A35" s="17">
        <v>33</v>
      </c>
      <c r="B35" s="17" t="s">
        <v>39</v>
      </c>
      <c r="C35" s="49"/>
      <c r="D35" s="50"/>
      <c r="E35" s="50"/>
      <c r="F35" s="50"/>
      <c r="G35" s="50"/>
      <c r="H35" s="50"/>
      <c r="I35" s="50"/>
      <c r="J35" s="50"/>
      <c r="K35" s="50"/>
      <c r="L35" s="50"/>
      <c r="M35" s="51"/>
      <c r="N35" s="8">
        <f t="shared" ref="N35:N38" si="4">SUM(C35:M35)</f>
        <v>0</v>
      </c>
      <c r="O35" s="16">
        <v>250</v>
      </c>
      <c r="P35" s="18">
        <f t="shared" si="3"/>
        <v>-250</v>
      </c>
    </row>
    <row r="36" spans="1:16">
      <c r="A36" s="17">
        <v>34</v>
      </c>
      <c r="B36" s="17" t="s">
        <v>41</v>
      </c>
      <c r="C36" s="49">
        <v>71</v>
      </c>
      <c r="D36" s="50">
        <v>75</v>
      </c>
      <c r="E36" s="50">
        <v>78</v>
      </c>
      <c r="F36" s="50">
        <v>77</v>
      </c>
      <c r="G36" s="50">
        <v>80</v>
      </c>
      <c r="H36" s="50">
        <v>25</v>
      </c>
      <c r="I36" s="50"/>
      <c r="J36" s="50"/>
      <c r="K36" s="50"/>
      <c r="L36" s="50"/>
      <c r="M36" s="51"/>
      <c r="N36" s="8">
        <f t="shared" si="4"/>
        <v>406</v>
      </c>
      <c r="O36" s="16">
        <v>250</v>
      </c>
      <c r="P36" s="21">
        <f t="shared" si="3"/>
        <v>156</v>
      </c>
    </row>
    <row r="37" spans="1:16">
      <c r="A37" s="52">
        <v>35</v>
      </c>
      <c r="B37" s="52" t="s">
        <v>42</v>
      </c>
      <c r="C37" s="49">
        <v>76</v>
      </c>
      <c r="D37" s="50">
        <v>64</v>
      </c>
      <c r="E37" s="50">
        <v>70</v>
      </c>
      <c r="F37" s="50">
        <v>78</v>
      </c>
      <c r="G37" s="50">
        <v>74</v>
      </c>
      <c r="H37" s="50">
        <v>57</v>
      </c>
      <c r="I37" s="50"/>
      <c r="J37" s="50"/>
      <c r="K37" s="50"/>
      <c r="L37" s="50"/>
      <c r="M37" s="51"/>
      <c r="N37" s="8">
        <f t="shared" si="4"/>
        <v>419</v>
      </c>
      <c r="O37" s="16">
        <v>250</v>
      </c>
      <c r="P37" s="18">
        <f t="shared" si="3"/>
        <v>169</v>
      </c>
    </row>
    <row r="38" spans="1:16">
      <c r="A38" s="52">
        <v>36</v>
      </c>
      <c r="B38" s="52" t="s">
        <v>43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5"/>
      <c r="N38" s="8">
        <f t="shared" si="4"/>
        <v>0</v>
      </c>
      <c r="O38" s="41">
        <v>250</v>
      </c>
      <c r="P38" s="56">
        <f t="shared" si="3"/>
        <v>-250</v>
      </c>
    </row>
    <row r="39" spans="1:16">
      <c r="A39" s="57"/>
      <c r="B39" s="58"/>
      <c r="C39" s="143" t="s">
        <v>24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29">
        <f>SUM(N37,N36,N34)</f>
        <v>1324</v>
      </c>
      <c r="O39" s="59"/>
      <c r="P39" s="60"/>
    </row>
    <row r="40" spans="1:16">
      <c r="A40" s="8">
        <v>37</v>
      </c>
      <c r="B40" s="61" t="s">
        <v>44</v>
      </c>
      <c r="C40" s="62">
        <v>75</v>
      </c>
      <c r="D40" s="63">
        <v>72</v>
      </c>
      <c r="E40" s="63">
        <v>75</v>
      </c>
      <c r="F40" s="63">
        <v>70</v>
      </c>
      <c r="G40" s="63">
        <v>75</v>
      </c>
      <c r="H40" s="63">
        <v>72</v>
      </c>
      <c r="I40" s="63">
        <v>72</v>
      </c>
      <c r="J40" s="63">
        <v>59</v>
      </c>
      <c r="K40" s="63"/>
      <c r="L40" s="63"/>
      <c r="M40" s="64"/>
      <c r="N40" s="8">
        <f>SUM(C40:M40)</f>
        <v>570</v>
      </c>
      <c r="O40" s="16">
        <v>250</v>
      </c>
      <c r="P40" s="18">
        <f t="shared" ref="P40:P41" si="5">N40-O40</f>
        <v>320</v>
      </c>
    </row>
    <row r="41" spans="1:16">
      <c r="A41" s="15">
        <v>38</v>
      </c>
      <c r="B41" s="65" t="s">
        <v>45</v>
      </c>
      <c r="C41" s="66">
        <v>64</v>
      </c>
      <c r="D41" s="67">
        <v>60</v>
      </c>
      <c r="E41" s="67">
        <v>65</v>
      </c>
      <c r="F41" s="67">
        <v>76</v>
      </c>
      <c r="G41" s="67">
        <v>60</v>
      </c>
      <c r="H41" s="67">
        <v>68</v>
      </c>
      <c r="I41" s="67">
        <v>31</v>
      </c>
      <c r="J41" s="67"/>
      <c r="K41" s="67"/>
      <c r="L41" s="67"/>
      <c r="M41" s="68"/>
      <c r="N41" s="8">
        <f>SUM(C41:M41)</f>
        <v>424</v>
      </c>
      <c r="O41" s="16">
        <v>250</v>
      </c>
      <c r="P41" s="18">
        <f t="shared" si="5"/>
        <v>174</v>
      </c>
    </row>
    <row r="42" spans="1:16">
      <c r="A42" s="71"/>
      <c r="B42" s="30"/>
      <c r="C42" s="143" t="s">
        <v>24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8"/>
      <c r="N42" s="72">
        <f>SUM(N40:N41)</f>
        <v>994</v>
      </c>
      <c r="O42" s="73"/>
      <c r="P42" s="74"/>
    </row>
    <row r="43" spans="1:16">
      <c r="A43" s="75"/>
      <c r="B43" s="76" t="s">
        <v>46</v>
      </c>
      <c r="C43" s="77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80">
        <f>N42+N39+N33+N19</f>
        <v>17490</v>
      </c>
      <c r="O43" s="81"/>
      <c r="P43" s="79"/>
    </row>
  </sheetData>
  <mergeCells count="5">
    <mergeCell ref="C2:M2"/>
    <mergeCell ref="C19:M19"/>
    <mergeCell ref="C33:M33"/>
    <mergeCell ref="C39:M39"/>
    <mergeCell ref="C42:M4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7BB5-D0FF-4E0C-A693-072D9EFD7FE0}">
  <dimension ref="A1:P43"/>
  <sheetViews>
    <sheetView topLeftCell="A38" workbookViewId="0">
      <selection activeCell="A53" sqref="A53"/>
    </sheetView>
  </sheetViews>
  <sheetFormatPr defaultRowHeight="15"/>
  <cols>
    <col min="2" max="2" width="20.85546875" customWidth="1"/>
    <col min="3" max="3" width="3.7109375" customWidth="1"/>
    <col min="4" max="5" width="3.85546875" customWidth="1"/>
    <col min="6" max="10" width="3.5703125" customWidth="1"/>
    <col min="11" max="11" width="3.42578125" customWidth="1"/>
    <col min="12" max="12" width="3.5703125" customWidth="1"/>
  </cols>
  <sheetData>
    <row r="1" spans="1:16" ht="15.75">
      <c r="A1" s="1"/>
      <c r="B1" s="2" t="s">
        <v>49</v>
      </c>
      <c r="L1">
        <v>62</v>
      </c>
      <c r="N1" s="3" t="s">
        <v>48</v>
      </c>
    </row>
    <row r="2" spans="1:16">
      <c r="A2" s="3" t="s">
        <v>2</v>
      </c>
      <c r="B2" s="4" t="s">
        <v>3</v>
      </c>
      <c r="C2" s="143" t="s">
        <v>4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3" t="s">
        <v>5</v>
      </c>
      <c r="O2" s="6" t="s">
        <v>6</v>
      </c>
      <c r="P2" s="7" t="s">
        <v>7</v>
      </c>
    </row>
    <row r="3" spans="1:16">
      <c r="A3" s="8">
        <v>1</v>
      </c>
      <c r="B3" s="9" t="s">
        <v>8</v>
      </c>
      <c r="C3" s="10">
        <v>82</v>
      </c>
      <c r="D3" s="11">
        <v>86</v>
      </c>
      <c r="E3" s="11">
        <v>85</v>
      </c>
      <c r="F3" s="11">
        <v>80</v>
      </c>
      <c r="G3" s="11">
        <v>90</v>
      </c>
      <c r="H3" s="11">
        <v>71</v>
      </c>
      <c r="I3" s="12">
        <v>77</v>
      </c>
      <c r="J3" s="13">
        <v>83</v>
      </c>
      <c r="K3" s="13">
        <v>82</v>
      </c>
      <c r="L3" s="13">
        <v>84</v>
      </c>
      <c r="M3" s="14">
        <v>86</v>
      </c>
      <c r="N3" s="8">
        <f>SUM(C3:M3)</f>
        <v>906</v>
      </c>
      <c r="O3" s="9">
        <v>250</v>
      </c>
      <c r="P3" s="18">
        <f t="shared" ref="P3:P33" si="0">N3-O3</f>
        <v>656</v>
      </c>
    </row>
    <row r="4" spans="1:16">
      <c r="A4" s="15">
        <v>2</v>
      </c>
      <c r="B4" s="16" t="s">
        <v>9</v>
      </c>
      <c r="C4" s="17">
        <v>97</v>
      </c>
      <c r="D4" s="18">
        <v>71</v>
      </c>
      <c r="E4" s="18">
        <v>67</v>
      </c>
      <c r="F4" s="18">
        <v>68</v>
      </c>
      <c r="G4" s="18">
        <v>97</v>
      </c>
      <c r="H4" s="18">
        <v>74</v>
      </c>
      <c r="I4" s="18">
        <v>67</v>
      </c>
      <c r="J4" s="13">
        <v>68</v>
      </c>
      <c r="K4" s="13">
        <v>72</v>
      </c>
      <c r="L4" s="13">
        <v>63</v>
      </c>
      <c r="M4" s="14">
        <v>38</v>
      </c>
      <c r="N4" s="8">
        <f t="shared" ref="N4:N18" si="1">SUM(C4:M4)</f>
        <v>782</v>
      </c>
      <c r="O4" s="16">
        <v>250</v>
      </c>
      <c r="P4" s="18">
        <f t="shared" si="0"/>
        <v>532</v>
      </c>
    </row>
    <row r="5" spans="1:16">
      <c r="A5" s="19">
        <v>3</v>
      </c>
      <c r="B5" s="16" t="s">
        <v>10</v>
      </c>
      <c r="C5" s="20">
        <v>67</v>
      </c>
      <c r="D5" s="13">
        <v>79</v>
      </c>
      <c r="E5" s="13">
        <v>71</v>
      </c>
      <c r="F5" s="13">
        <v>71</v>
      </c>
      <c r="G5" s="13">
        <v>74</v>
      </c>
      <c r="H5" s="13">
        <v>63</v>
      </c>
      <c r="I5" s="13">
        <v>93</v>
      </c>
      <c r="J5" s="13">
        <v>83</v>
      </c>
      <c r="K5" s="13">
        <v>69</v>
      </c>
      <c r="L5" s="13">
        <v>78</v>
      </c>
      <c r="M5" s="14">
        <v>32</v>
      </c>
      <c r="N5" s="8">
        <f t="shared" si="1"/>
        <v>780</v>
      </c>
      <c r="O5" s="16">
        <v>250</v>
      </c>
      <c r="P5" s="21">
        <f t="shared" si="0"/>
        <v>530</v>
      </c>
    </row>
    <row r="6" spans="1:16">
      <c r="A6" s="15">
        <v>4</v>
      </c>
      <c r="B6" s="16" t="s">
        <v>11</v>
      </c>
      <c r="C6" s="20">
        <v>68</v>
      </c>
      <c r="D6" s="18">
        <v>74</v>
      </c>
      <c r="E6" s="18">
        <v>62</v>
      </c>
      <c r="F6" s="18">
        <v>65</v>
      </c>
      <c r="G6" s="18">
        <v>78</v>
      </c>
      <c r="H6" s="18">
        <v>78</v>
      </c>
      <c r="I6" s="18">
        <v>80</v>
      </c>
      <c r="J6" s="18">
        <v>32</v>
      </c>
      <c r="K6" s="18"/>
      <c r="L6" s="18"/>
      <c r="M6" s="22"/>
      <c r="N6" s="8">
        <f t="shared" si="1"/>
        <v>537</v>
      </c>
      <c r="O6" s="16">
        <v>250</v>
      </c>
      <c r="P6" s="18">
        <f>N6-O6</f>
        <v>287</v>
      </c>
    </row>
    <row r="7" spans="1:16">
      <c r="A7" s="19">
        <v>5</v>
      </c>
      <c r="B7" s="16" t="s">
        <v>12</v>
      </c>
      <c r="C7" s="20">
        <v>71</v>
      </c>
      <c r="D7" s="18">
        <v>69</v>
      </c>
      <c r="E7" s="18">
        <v>74</v>
      </c>
      <c r="F7" s="18">
        <v>77</v>
      </c>
      <c r="G7" s="18">
        <v>70</v>
      </c>
      <c r="H7" s="18">
        <v>62</v>
      </c>
      <c r="I7" s="18">
        <v>56</v>
      </c>
      <c r="J7" s="18"/>
      <c r="K7" s="18"/>
      <c r="L7" s="18"/>
      <c r="M7" s="22"/>
      <c r="N7" s="8">
        <f t="shared" si="1"/>
        <v>479</v>
      </c>
      <c r="O7" s="16">
        <v>250</v>
      </c>
      <c r="P7" s="18">
        <f t="shared" si="0"/>
        <v>229</v>
      </c>
    </row>
    <row r="8" spans="1:16">
      <c r="A8" s="15">
        <v>6</v>
      </c>
      <c r="B8" s="16" t="s">
        <v>13</v>
      </c>
      <c r="C8" s="20">
        <v>83</v>
      </c>
      <c r="D8" s="18">
        <v>83</v>
      </c>
      <c r="E8" s="18">
        <v>81</v>
      </c>
      <c r="F8" s="18">
        <v>91</v>
      </c>
      <c r="G8" s="18">
        <v>61</v>
      </c>
      <c r="H8" s="18">
        <v>63</v>
      </c>
      <c r="I8" s="18">
        <v>79</v>
      </c>
      <c r="J8" s="18">
        <v>45</v>
      </c>
      <c r="K8" s="18"/>
      <c r="L8" s="18"/>
      <c r="M8" s="22"/>
      <c r="N8" s="8">
        <f t="shared" si="1"/>
        <v>586</v>
      </c>
      <c r="O8" s="16">
        <v>250</v>
      </c>
      <c r="P8" s="18">
        <f t="shared" si="0"/>
        <v>336</v>
      </c>
    </row>
    <row r="9" spans="1:16">
      <c r="A9" s="19">
        <v>7</v>
      </c>
      <c r="B9" s="16" t="s">
        <v>14</v>
      </c>
      <c r="C9" s="20"/>
      <c r="D9" s="18"/>
      <c r="E9" s="18"/>
      <c r="F9" s="18"/>
      <c r="G9" s="18"/>
      <c r="H9" s="18"/>
      <c r="I9" s="18"/>
      <c r="J9" s="18"/>
      <c r="K9" s="18"/>
      <c r="L9" s="18"/>
      <c r="M9" s="22"/>
      <c r="N9" s="8">
        <f t="shared" si="1"/>
        <v>0</v>
      </c>
      <c r="O9" s="16">
        <v>250</v>
      </c>
      <c r="P9" s="18">
        <f t="shared" si="0"/>
        <v>-250</v>
      </c>
    </row>
    <row r="10" spans="1:16">
      <c r="A10" s="15">
        <v>8</v>
      </c>
      <c r="B10" s="16" t="s">
        <v>15</v>
      </c>
      <c r="C10" s="20">
        <v>74</v>
      </c>
      <c r="D10" s="18">
        <v>73</v>
      </c>
      <c r="E10" s="18">
        <v>71</v>
      </c>
      <c r="F10" s="18">
        <v>70</v>
      </c>
      <c r="G10" s="18">
        <v>67</v>
      </c>
      <c r="H10" s="18">
        <v>73</v>
      </c>
      <c r="I10" s="18">
        <v>67</v>
      </c>
      <c r="J10" s="18">
        <v>68</v>
      </c>
      <c r="K10" s="18">
        <v>70</v>
      </c>
      <c r="L10" s="18"/>
      <c r="M10" s="22"/>
      <c r="N10" s="8">
        <f t="shared" si="1"/>
        <v>633</v>
      </c>
      <c r="O10" s="16">
        <v>250</v>
      </c>
      <c r="P10" s="18">
        <f t="shared" si="0"/>
        <v>383</v>
      </c>
    </row>
    <row r="11" spans="1:16">
      <c r="A11" s="19">
        <v>9</v>
      </c>
      <c r="B11" s="16" t="s">
        <v>16</v>
      </c>
      <c r="C11" s="20">
        <v>78</v>
      </c>
      <c r="D11" s="18">
        <v>74</v>
      </c>
      <c r="E11" s="18">
        <v>81</v>
      </c>
      <c r="F11" s="18">
        <v>77</v>
      </c>
      <c r="G11" s="18">
        <v>79</v>
      </c>
      <c r="H11" s="18">
        <v>64</v>
      </c>
      <c r="I11" s="18">
        <v>72</v>
      </c>
      <c r="J11" s="18">
        <v>39</v>
      </c>
      <c r="K11" s="18"/>
      <c r="L11" s="18"/>
      <c r="M11" s="22"/>
      <c r="N11" s="8">
        <f t="shared" si="1"/>
        <v>564</v>
      </c>
      <c r="O11" s="16">
        <v>250</v>
      </c>
      <c r="P11" s="18">
        <f t="shared" si="0"/>
        <v>314</v>
      </c>
    </row>
    <row r="12" spans="1:16">
      <c r="A12" s="15">
        <v>10</v>
      </c>
      <c r="B12" s="16" t="s">
        <v>17</v>
      </c>
      <c r="C12" s="20">
        <v>78</v>
      </c>
      <c r="D12" s="18">
        <v>76</v>
      </c>
      <c r="E12" s="18">
        <v>48</v>
      </c>
      <c r="F12" s="18">
        <v>61</v>
      </c>
      <c r="G12" s="18">
        <v>65</v>
      </c>
      <c r="H12" s="18">
        <v>76</v>
      </c>
      <c r="I12" s="18">
        <v>70</v>
      </c>
      <c r="J12" s="18">
        <v>43</v>
      </c>
      <c r="K12" s="18">
        <v>5</v>
      </c>
      <c r="L12" s="18"/>
      <c r="M12" s="22"/>
      <c r="N12" s="8">
        <f t="shared" si="1"/>
        <v>522</v>
      </c>
      <c r="O12" s="16">
        <v>250</v>
      </c>
      <c r="P12" s="18">
        <f t="shared" si="0"/>
        <v>272</v>
      </c>
    </row>
    <row r="13" spans="1:16">
      <c r="A13" s="19">
        <v>11</v>
      </c>
      <c r="B13" s="16" t="s">
        <v>18</v>
      </c>
      <c r="C13" s="23">
        <v>70</v>
      </c>
      <c r="D13" s="24">
        <v>66</v>
      </c>
      <c r="E13" s="24">
        <v>70</v>
      </c>
      <c r="F13" s="24">
        <v>68</v>
      </c>
      <c r="G13" s="24">
        <v>53</v>
      </c>
      <c r="H13" s="24">
        <v>62</v>
      </c>
      <c r="I13" s="24">
        <v>70</v>
      </c>
      <c r="J13" s="24">
        <v>27</v>
      </c>
      <c r="K13" s="24"/>
      <c r="L13" s="24"/>
      <c r="M13" s="25"/>
      <c r="N13" s="8">
        <f t="shared" si="1"/>
        <v>486</v>
      </c>
      <c r="O13" s="16">
        <v>250</v>
      </c>
      <c r="P13" s="18">
        <f t="shared" si="0"/>
        <v>236</v>
      </c>
    </row>
    <row r="14" spans="1:16">
      <c r="A14" s="15">
        <v>12</v>
      </c>
      <c r="B14" s="16" t="s">
        <v>19</v>
      </c>
      <c r="C14" s="20">
        <v>78</v>
      </c>
      <c r="D14" s="18">
        <v>70</v>
      </c>
      <c r="E14" s="18">
        <v>65</v>
      </c>
      <c r="F14" s="18">
        <v>67</v>
      </c>
      <c r="G14" s="18">
        <v>59</v>
      </c>
      <c r="H14" s="18">
        <v>65</v>
      </c>
      <c r="I14" s="18">
        <v>69</v>
      </c>
      <c r="J14" s="18">
        <v>67</v>
      </c>
      <c r="K14" s="18"/>
      <c r="L14" s="18"/>
      <c r="M14" s="22"/>
      <c r="N14" s="8">
        <f t="shared" si="1"/>
        <v>540</v>
      </c>
      <c r="O14" s="16">
        <v>250</v>
      </c>
      <c r="P14" s="18">
        <f t="shared" si="0"/>
        <v>290</v>
      </c>
    </row>
    <row r="15" spans="1:16">
      <c r="A15" s="19">
        <v>13</v>
      </c>
      <c r="B15" s="16" t="s">
        <v>20</v>
      </c>
      <c r="C15" s="20">
        <v>76</v>
      </c>
      <c r="D15" s="18">
        <v>79</v>
      </c>
      <c r="E15" s="18">
        <v>76</v>
      </c>
      <c r="F15" s="18">
        <v>78</v>
      </c>
      <c r="G15" s="18">
        <v>80</v>
      </c>
      <c r="H15" s="18">
        <v>82</v>
      </c>
      <c r="I15" s="18">
        <v>70</v>
      </c>
      <c r="J15" s="18">
        <v>81</v>
      </c>
      <c r="K15" s="18">
        <v>80</v>
      </c>
      <c r="L15" s="18">
        <v>74</v>
      </c>
      <c r="M15" s="22">
        <v>25</v>
      </c>
      <c r="N15" s="8">
        <f t="shared" si="1"/>
        <v>801</v>
      </c>
      <c r="O15" s="16">
        <v>250</v>
      </c>
      <c r="P15" s="18">
        <f t="shared" si="0"/>
        <v>551</v>
      </c>
    </row>
    <row r="16" spans="1:16">
      <c r="A16" s="15">
        <v>14</v>
      </c>
      <c r="B16" s="16" t="s">
        <v>21</v>
      </c>
      <c r="C16" s="20">
        <v>78</v>
      </c>
      <c r="D16" s="18">
        <v>73</v>
      </c>
      <c r="E16" s="18">
        <v>65</v>
      </c>
      <c r="F16" s="18">
        <v>67</v>
      </c>
      <c r="G16" s="18">
        <v>69</v>
      </c>
      <c r="H16" s="18">
        <v>69</v>
      </c>
      <c r="I16" s="18">
        <v>72</v>
      </c>
      <c r="J16" s="18">
        <v>36</v>
      </c>
      <c r="K16" s="18"/>
      <c r="L16" s="18"/>
      <c r="M16" s="22"/>
      <c r="N16" s="8">
        <f t="shared" si="1"/>
        <v>529</v>
      </c>
      <c r="O16" s="16">
        <v>250</v>
      </c>
      <c r="P16" s="21">
        <f t="shared" si="0"/>
        <v>279</v>
      </c>
    </row>
    <row r="17" spans="1:16">
      <c r="A17" s="19">
        <v>15</v>
      </c>
      <c r="B17" s="16" t="s">
        <v>22</v>
      </c>
      <c r="C17" s="20">
        <v>74</v>
      </c>
      <c r="D17" s="18">
        <v>75</v>
      </c>
      <c r="E17" s="18">
        <v>78</v>
      </c>
      <c r="F17" s="18">
        <v>66</v>
      </c>
      <c r="G17" s="18">
        <v>68</v>
      </c>
      <c r="H17" s="18">
        <v>79</v>
      </c>
      <c r="I17" s="18">
        <v>76</v>
      </c>
      <c r="J17" s="18">
        <v>75</v>
      </c>
      <c r="K17" s="18">
        <v>34</v>
      </c>
      <c r="L17" s="18"/>
      <c r="M17" s="22"/>
      <c r="N17" s="8">
        <f t="shared" si="1"/>
        <v>625</v>
      </c>
      <c r="O17" s="16">
        <v>250</v>
      </c>
      <c r="P17" s="18">
        <f t="shared" si="0"/>
        <v>375</v>
      </c>
    </row>
    <row r="18" spans="1:16">
      <c r="A18" s="15">
        <v>16</v>
      </c>
      <c r="B18" s="16" t="s">
        <v>23</v>
      </c>
      <c r="C18" s="20">
        <v>82</v>
      </c>
      <c r="D18" s="18">
        <v>73</v>
      </c>
      <c r="E18" s="18">
        <v>82</v>
      </c>
      <c r="F18" s="18">
        <v>75</v>
      </c>
      <c r="G18" s="18">
        <v>76</v>
      </c>
      <c r="H18" s="18">
        <v>76</v>
      </c>
      <c r="I18" s="18">
        <v>41</v>
      </c>
      <c r="J18" s="18"/>
      <c r="K18" s="18"/>
      <c r="L18" s="18"/>
      <c r="M18" s="22"/>
      <c r="N18" s="8">
        <f t="shared" si="1"/>
        <v>505</v>
      </c>
      <c r="O18" s="16">
        <v>250</v>
      </c>
      <c r="P18" s="18">
        <f t="shared" si="0"/>
        <v>255</v>
      </c>
    </row>
    <row r="19" spans="1:16">
      <c r="A19" s="26"/>
      <c r="B19" s="27"/>
      <c r="C19" s="144" t="s">
        <v>24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29">
        <f>SUM(N3:N18)</f>
        <v>9275</v>
      </c>
      <c r="O19" s="30"/>
      <c r="P19" s="31"/>
    </row>
    <row r="20" spans="1:16">
      <c r="A20" s="8">
        <v>18</v>
      </c>
      <c r="B20" s="32" t="s">
        <v>25</v>
      </c>
      <c r="C20" s="33">
        <v>71</v>
      </c>
      <c r="D20" s="34">
        <v>68</v>
      </c>
      <c r="E20" s="34">
        <v>73</v>
      </c>
      <c r="F20" s="34">
        <v>69</v>
      </c>
      <c r="G20" s="34">
        <v>67</v>
      </c>
      <c r="H20" s="34">
        <v>78</v>
      </c>
      <c r="I20" s="34">
        <v>69</v>
      </c>
      <c r="J20" s="34">
        <v>44</v>
      </c>
      <c r="K20" s="35"/>
      <c r="L20" s="35"/>
      <c r="M20" s="36"/>
      <c r="N20" s="37">
        <f>SUM(C20:M20)</f>
        <v>539</v>
      </c>
      <c r="O20" s="9">
        <v>250</v>
      </c>
      <c r="P20" s="13">
        <f t="shared" si="0"/>
        <v>289</v>
      </c>
    </row>
    <row r="21" spans="1:16">
      <c r="A21" s="19">
        <v>20</v>
      </c>
      <c r="B21" s="38" t="s">
        <v>26</v>
      </c>
      <c r="C21" s="20">
        <v>72</v>
      </c>
      <c r="D21" s="18">
        <v>77</v>
      </c>
      <c r="E21" s="18">
        <v>77</v>
      </c>
      <c r="F21" s="18">
        <v>77</v>
      </c>
      <c r="G21" s="18">
        <v>71</v>
      </c>
      <c r="H21" s="18">
        <v>57</v>
      </c>
      <c r="I21" s="18">
        <v>67</v>
      </c>
      <c r="J21" s="18">
        <v>73</v>
      </c>
      <c r="K21" s="22">
        <v>87</v>
      </c>
      <c r="L21" s="22"/>
      <c r="M21" s="39"/>
      <c r="N21" s="37">
        <f t="shared" ref="N21:N32" si="2">SUM(C21:M21)</f>
        <v>658</v>
      </c>
      <c r="O21" s="16">
        <v>250</v>
      </c>
      <c r="P21" s="18">
        <f t="shared" si="0"/>
        <v>408</v>
      </c>
    </row>
    <row r="22" spans="1:16">
      <c r="A22" s="15">
        <v>21</v>
      </c>
      <c r="B22" s="38" t="s">
        <v>27</v>
      </c>
      <c r="C22" s="16">
        <v>69</v>
      </c>
      <c r="D22" s="18">
        <v>73</v>
      </c>
      <c r="E22" s="18">
        <v>88</v>
      </c>
      <c r="F22" s="18">
        <v>70</v>
      </c>
      <c r="G22" s="18">
        <v>69</v>
      </c>
      <c r="H22" s="18">
        <v>77</v>
      </c>
      <c r="I22" s="18">
        <v>75</v>
      </c>
      <c r="J22" s="18">
        <v>37</v>
      </c>
      <c r="K22" s="22"/>
      <c r="L22" s="22"/>
      <c r="M22" s="39"/>
      <c r="N22" s="37">
        <f t="shared" si="2"/>
        <v>558</v>
      </c>
      <c r="O22" s="16">
        <v>250</v>
      </c>
      <c r="P22" s="18">
        <f t="shared" si="0"/>
        <v>308</v>
      </c>
    </row>
    <row r="23" spans="1:16">
      <c r="A23" s="19">
        <v>22</v>
      </c>
      <c r="B23" s="38" t="s">
        <v>28</v>
      </c>
      <c r="C23" s="16">
        <v>72</v>
      </c>
      <c r="D23" s="18">
        <v>79</v>
      </c>
      <c r="E23" s="18">
        <v>85</v>
      </c>
      <c r="F23" s="18">
        <v>67</v>
      </c>
      <c r="G23" s="18">
        <v>72</v>
      </c>
      <c r="H23" s="18">
        <v>78</v>
      </c>
      <c r="I23" s="18">
        <v>45</v>
      </c>
      <c r="J23" s="18">
        <v>15</v>
      </c>
      <c r="K23" s="22"/>
      <c r="L23" s="22"/>
      <c r="M23" s="39"/>
      <c r="N23" s="37">
        <f t="shared" si="2"/>
        <v>513</v>
      </c>
      <c r="O23" s="16">
        <v>250</v>
      </c>
      <c r="P23" s="18">
        <f t="shared" si="0"/>
        <v>263</v>
      </c>
    </row>
    <row r="24" spans="1:16">
      <c r="A24" s="15">
        <v>23</v>
      </c>
      <c r="B24" s="38" t="s">
        <v>29</v>
      </c>
      <c r="C24" s="16"/>
      <c r="D24" s="18"/>
      <c r="E24" s="18"/>
      <c r="F24" s="18"/>
      <c r="G24" s="18"/>
      <c r="H24" s="18"/>
      <c r="I24" s="18"/>
      <c r="J24" s="18"/>
      <c r="K24" s="22"/>
      <c r="L24" s="22"/>
      <c r="M24" s="39"/>
      <c r="N24" s="37">
        <f t="shared" si="2"/>
        <v>0</v>
      </c>
      <c r="O24" s="16">
        <v>250</v>
      </c>
      <c r="P24" s="18">
        <f t="shared" si="0"/>
        <v>-250</v>
      </c>
    </row>
    <row r="25" spans="1:16">
      <c r="A25" s="19">
        <v>24</v>
      </c>
      <c r="B25" s="38" t="s">
        <v>30</v>
      </c>
      <c r="C25" s="16">
        <v>63</v>
      </c>
      <c r="D25" s="18">
        <v>75</v>
      </c>
      <c r="E25" s="18">
        <v>62</v>
      </c>
      <c r="F25" s="18">
        <v>70</v>
      </c>
      <c r="G25" s="18">
        <v>70</v>
      </c>
      <c r="H25" s="18">
        <v>70</v>
      </c>
      <c r="I25" s="18">
        <v>70</v>
      </c>
      <c r="J25" s="18"/>
      <c r="K25" s="22"/>
      <c r="L25" s="22"/>
      <c r="M25" s="39"/>
      <c r="N25" s="37">
        <f t="shared" si="2"/>
        <v>480</v>
      </c>
      <c r="O25" s="16">
        <v>250</v>
      </c>
      <c r="P25" s="21">
        <f t="shared" si="0"/>
        <v>230</v>
      </c>
    </row>
    <row r="26" spans="1:16">
      <c r="A26" s="15">
        <v>25</v>
      </c>
      <c r="B26" s="38" t="s">
        <v>31</v>
      </c>
      <c r="C26" s="16">
        <v>75</v>
      </c>
      <c r="D26" s="18">
        <v>77</v>
      </c>
      <c r="E26" s="18">
        <v>76</v>
      </c>
      <c r="F26" s="18">
        <v>66</v>
      </c>
      <c r="G26" s="18">
        <v>69</v>
      </c>
      <c r="H26" s="18">
        <v>98</v>
      </c>
      <c r="I26" s="18">
        <v>99</v>
      </c>
      <c r="J26" s="18">
        <v>76</v>
      </c>
      <c r="K26" s="22">
        <v>31</v>
      </c>
      <c r="L26" s="22"/>
      <c r="M26" s="39"/>
      <c r="N26" s="37">
        <f t="shared" si="2"/>
        <v>667</v>
      </c>
      <c r="O26" s="16">
        <v>250</v>
      </c>
      <c r="P26" s="18">
        <f t="shared" si="0"/>
        <v>417</v>
      </c>
    </row>
    <row r="27" spans="1:16">
      <c r="A27" s="19">
        <v>26</v>
      </c>
      <c r="B27" s="38" t="s">
        <v>32</v>
      </c>
      <c r="C27" s="16">
        <v>64</v>
      </c>
      <c r="D27" s="18">
        <v>75</v>
      </c>
      <c r="E27" s="18">
        <v>61</v>
      </c>
      <c r="F27" s="18">
        <v>81</v>
      </c>
      <c r="G27" s="18">
        <v>71</v>
      </c>
      <c r="H27" s="18">
        <v>70</v>
      </c>
      <c r="I27" s="18">
        <v>74</v>
      </c>
      <c r="J27" s="18">
        <v>42</v>
      </c>
      <c r="K27" s="22"/>
      <c r="L27" s="22"/>
      <c r="M27" s="39"/>
      <c r="N27" s="37">
        <f t="shared" si="2"/>
        <v>538</v>
      </c>
      <c r="O27" s="16">
        <v>250</v>
      </c>
      <c r="P27" s="21">
        <f t="shared" si="0"/>
        <v>288</v>
      </c>
    </row>
    <row r="28" spans="1:16">
      <c r="A28" s="15">
        <v>27</v>
      </c>
      <c r="B28" s="38" t="s">
        <v>33</v>
      </c>
      <c r="C28" s="16">
        <v>72</v>
      </c>
      <c r="D28" s="18">
        <v>72</v>
      </c>
      <c r="E28" s="18">
        <v>67</v>
      </c>
      <c r="F28" s="18">
        <v>64</v>
      </c>
      <c r="G28" s="18">
        <v>70</v>
      </c>
      <c r="H28" s="18">
        <v>71</v>
      </c>
      <c r="I28" s="18">
        <v>74</v>
      </c>
      <c r="J28" s="18"/>
      <c r="K28" s="22"/>
      <c r="L28" s="22"/>
      <c r="M28" s="39"/>
      <c r="N28" s="37">
        <f t="shared" si="2"/>
        <v>490</v>
      </c>
      <c r="O28" s="16">
        <v>250</v>
      </c>
      <c r="P28" s="18">
        <f t="shared" si="0"/>
        <v>240</v>
      </c>
    </row>
    <row r="29" spans="1:16">
      <c r="A29" s="19">
        <v>28</v>
      </c>
      <c r="B29" s="38" t="s">
        <v>34</v>
      </c>
      <c r="C29" s="16">
        <v>57</v>
      </c>
      <c r="D29" s="18">
        <v>66</v>
      </c>
      <c r="E29" s="18">
        <v>61</v>
      </c>
      <c r="F29" s="18">
        <v>76</v>
      </c>
      <c r="G29" s="18">
        <v>67</v>
      </c>
      <c r="H29" s="18">
        <v>59</v>
      </c>
      <c r="I29" s="18">
        <v>66</v>
      </c>
      <c r="J29" s="18">
        <v>58</v>
      </c>
      <c r="K29" s="22"/>
      <c r="L29" s="22"/>
      <c r="M29" s="39"/>
      <c r="N29" s="37">
        <f t="shared" si="2"/>
        <v>510</v>
      </c>
      <c r="O29" s="16">
        <v>250</v>
      </c>
      <c r="P29" s="21">
        <f t="shared" si="0"/>
        <v>260</v>
      </c>
    </row>
    <row r="30" spans="1:16">
      <c r="A30" s="15">
        <v>29</v>
      </c>
      <c r="B30" s="40" t="s">
        <v>35</v>
      </c>
      <c r="C30" s="41">
        <v>73</v>
      </c>
      <c r="D30" s="24">
        <v>60</v>
      </c>
      <c r="E30" s="24">
        <v>78</v>
      </c>
      <c r="F30" s="24">
        <v>72</v>
      </c>
      <c r="G30" s="24">
        <v>68</v>
      </c>
      <c r="H30" s="24">
        <v>81</v>
      </c>
      <c r="I30" s="24">
        <v>22</v>
      </c>
      <c r="J30" s="24"/>
      <c r="K30" s="25"/>
      <c r="L30" s="25"/>
      <c r="M30" s="42"/>
      <c r="N30" s="37">
        <f t="shared" si="2"/>
        <v>454</v>
      </c>
      <c r="O30" s="41">
        <v>250</v>
      </c>
      <c r="P30" s="24">
        <f t="shared" si="0"/>
        <v>204</v>
      </c>
    </row>
    <row r="31" spans="1:16">
      <c r="A31" s="19">
        <v>30</v>
      </c>
      <c r="B31" s="38" t="s">
        <v>36</v>
      </c>
      <c r="C31" s="16">
        <v>63</v>
      </c>
      <c r="D31" s="18">
        <v>61</v>
      </c>
      <c r="E31" s="18">
        <v>63</v>
      </c>
      <c r="F31" s="18">
        <v>63</v>
      </c>
      <c r="G31" s="18">
        <v>79</v>
      </c>
      <c r="H31" s="18">
        <v>74</v>
      </c>
      <c r="I31" s="18">
        <v>48</v>
      </c>
      <c r="J31" s="18">
        <v>53</v>
      </c>
      <c r="K31" s="22"/>
      <c r="L31" s="22"/>
      <c r="M31" s="39"/>
      <c r="N31" s="37">
        <f t="shared" si="2"/>
        <v>504</v>
      </c>
      <c r="O31" s="16">
        <v>250</v>
      </c>
      <c r="P31" s="18">
        <f t="shared" si="0"/>
        <v>254</v>
      </c>
    </row>
    <row r="32" spans="1:16">
      <c r="A32" s="15">
        <v>31</v>
      </c>
      <c r="B32" s="40" t="s">
        <v>37</v>
      </c>
      <c r="C32" s="41">
        <v>70</v>
      </c>
      <c r="D32" s="24">
        <v>83</v>
      </c>
      <c r="E32" s="24">
        <v>65</v>
      </c>
      <c r="F32" s="24">
        <v>75</v>
      </c>
      <c r="G32" s="24">
        <v>75</v>
      </c>
      <c r="H32" s="24">
        <v>75</v>
      </c>
      <c r="I32" s="24">
        <v>76</v>
      </c>
      <c r="J32" s="24">
        <v>38</v>
      </c>
      <c r="K32" s="25"/>
      <c r="L32" s="25"/>
      <c r="M32" s="25"/>
      <c r="N32" s="37">
        <f t="shared" si="2"/>
        <v>557</v>
      </c>
      <c r="O32" s="41">
        <v>250</v>
      </c>
      <c r="P32" s="24">
        <f t="shared" si="0"/>
        <v>307</v>
      </c>
    </row>
    <row r="33" spans="1:16">
      <c r="A33" s="26"/>
      <c r="B33" s="43"/>
      <c r="C33" s="145" t="s">
        <v>24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44">
        <f>SUM(N20:N32)</f>
        <v>6468</v>
      </c>
      <c r="O33" s="30"/>
      <c r="P33" s="31"/>
    </row>
    <row r="34" spans="1:16">
      <c r="A34" s="45">
        <v>32</v>
      </c>
      <c r="B34" s="45" t="s">
        <v>38</v>
      </c>
      <c r="C34" s="46">
        <v>65</v>
      </c>
      <c r="D34" s="47">
        <v>72</v>
      </c>
      <c r="E34" s="47">
        <v>76</v>
      </c>
      <c r="F34" s="47">
        <v>83</v>
      </c>
      <c r="G34" s="47">
        <v>75</v>
      </c>
      <c r="H34" s="47">
        <v>75</v>
      </c>
      <c r="I34" s="47">
        <v>30</v>
      </c>
      <c r="J34" s="47"/>
      <c r="K34" s="47"/>
      <c r="L34" s="47"/>
      <c r="M34" s="48"/>
      <c r="N34" s="8">
        <f>SUM(C34:M34)</f>
        <v>476</v>
      </c>
      <c r="O34" s="16">
        <v>250</v>
      </c>
      <c r="P34" s="21">
        <f t="shared" ref="P34:P38" si="3">N34-O34</f>
        <v>226</v>
      </c>
    </row>
    <row r="35" spans="1:16">
      <c r="A35" s="17">
        <v>33</v>
      </c>
      <c r="B35" s="17" t="s">
        <v>39</v>
      </c>
      <c r="C35" s="49"/>
      <c r="D35" s="50"/>
      <c r="E35" s="50"/>
      <c r="F35" s="50"/>
      <c r="G35" s="50"/>
      <c r="H35" s="50"/>
      <c r="I35" s="50"/>
      <c r="J35" s="50"/>
      <c r="K35" s="50"/>
      <c r="L35" s="50"/>
      <c r="M35" s="51"/>
      <c r="N35" s="8">
        <f t="shared" ref="N35:N38" si="4">SUM(C35:M35)</f>
        <v>0</v>
      </c>
      <c r="O35" s="16">
        <v>250</v>
      </c>
      <c r="P35" s="18">
        <f t="shared" si="3"/>
        <v>-250</v>
      </c>
    </row>
    <row r="36" spans="1:16">
      <c r="A36" s="17">
        <v>34</v>
      </c>
      <c r="B36" s="17" t="s">
        <v>41</v>
      </c>
      <c r="C36" s="49">
        <v>61</v>
      </c>
      <c r="D36" s="50">
        <v>66</v>
      </c>
      <c r="E36" s="50">
        <v>63</v>
      </c>
      <c r="F36" s="50">
        <v>62</v>
      </c>
      <c r="G36" s="50">
        <v>71</v>
      </c>
      <c r="H36" s="50">
        <v>40</v>
      </c>
      <c r="I36" s="50"/>
      <c r="J36" s="50"/>
      <c r="K36" s="50"/>
      <c r="L36" s="50"/>
      <c r="M36" s="51"/>
      <c r="N36" s="8">
        <f t="shared" si="4"/>
        <v>363</v>
      </c>
      <c r="O36" s="16">
        <v>250</v>
      </c>
      <c r="P36" s="21">
        <f t="shared" si="3"/>
        <v>113</v>
      </c>
    </row>
    <row r="37" spans="1:16">
      <c r="A37" s="52">
        <v>35</v>
      </c>
      <c r="B37" s="52" t="s">
        <v>42</v>
      </c>
      <c r="C37" s="49">
        <v>69</v>
      </c>
      <c r="D37" s="50">
        <v>76</v>
      </c>
      <c r="E37" s="50">
        <v>78</v>
      </c>
      <c r="F37" s="50">
        <v>76</v>
      </c>
      <c r="G37" s="50">
        <v>74</v>
      </c>
      <c r="H37" s="50">
        <v>50</v>
      </c>
      <c r="I37" s="50"/>
      <c r="J37" s="50"/>
      <c r="K37" s="50"/>
      <c r="L37" s="50"/>
      <c r="M37" s="51"/>
      <c r="N37" s="8">
        <f t="shared" si="4"/>
        <v>423</v>
      </c>
      <c r="O37" s="16">
        <v>250</v>
      </c>
      <c r="P37" s="18">
        <f t="shared" si="3"/>
        <v>173</v>
      </c>
    </row>
    <row r="38" spans="1:16">
      <c r="A38" s="52">
        <v>36</v>
      </c>
      <c r="B38" s="52" t="s">
        <v>43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5"/>
      <c r="N38" s="8">
        <f t="shared" si="4"/>
        <v>0</v>
      </c>
      <c r="O38" s="41">
        <v>250</v>
      </c>
      <c r="P38" s="56">
        <f t="shared" si="3"/>
        <v>-250</v>
      </c>
    </row>
    <row r="39" spans="1:16">
      <c r="A39" s="57"/>
      <c r="B39" s="58"/>
      <c r="C39" s="143" t="s">
        <v>24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29">
        <f>SUM(N37,N36,N34)</f>
        <v>1262</v>
      </c>
      <c r="O39" s="59"/>
      <c r="P39" s="60"/>
    </row>
    <row r="40" spans="1:16">
      <c r="A40" s="8">
        <v>37</v>
      </c>
      <c r="B40" s="61" t="s">
        <v>44</v>
      </c>
      <c r="C40" s="62">
        <v>70</v>
      </c>
      <c r="D40" s="63">
        <v>79</v>
      </c>
      <c r="E40" s="63">
        <v>70</v>
      </c>
      <c r="F40" s="63">
        <v>71</v>
      </c>
      <c r="G40" s="63">
        <v>86</v>
      </c>
      <c r="H40" s="63">
        <v>72</v>
      </c>
      <c r="I40" s="63">
        <v>80</v>
      </c>
      <c r="J40" s="63">
        <v>77</v>
      </c>
      <c r="K40" s="63"/>
      <c r="L40" s="63"/>
      <c r="M40" s="64"/>
      <c r="N40" s="8">
        <f>SUM(C40:M40)</f>
        <v>605</v>
      </c>
      <c r="O40" s="16">
        <v>250</v>
      </c>
      <c r="P40" s="18">
        <f t="shared" ref="P40:P41" si="5">N40-O40</f>
        <v>355</v>
      </c>
    </row>
    <row r="41" spans="1:16">
      <c r="A41" s="15">
        <v>38</v>
      </c>
      <c r="B41" s="65" t="s">
        <v>45</v>
      </c>
      <c r="C41" s="66">
        <v>69</v>
      </c>
      <c r="D41" s="67">
        <v>70</v>
      </c>
      <c r="E41" s="67">
        <v>70</v>
      </c>
      <c r="F41" s="67">
        <v>71</v>
      </c>
      <c r="G41" s="67">
        <v>68</v>
      </c>
      <c r="H41" s="67">
        <v>63</v>
      </c>
      <c r="I41" s="67">
        <v>45</v>
      </c>
      <c r="J41" s="67">
        <v>32</v>
      </c>
      <c r="K41" s="67"/>
      <c r="L41" s="67"/>
      <c r="M41" s="68"/>
      <c r="N41" s="8">
        <f>SUM(C41:M41)</f>
        <v>488</v>
      </c>
      <c r="O41" s="16">
        <v>250</v>
      </c>
      <c r="P41" s="18">
        <f t="shared" si="5"/>
        <v>238</v>
      </c>
    </row>
    <row r="42" spans="1:16">
      <c r="A42" s="71"/>
      <c r="B42" s="30"/>
      <c r="C42" s="143" t="s">
        <v>24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8"/>
      <c r="N42" s="72">
        <f>SUM(N40:N41)</f>
        <v>1093</v>
      </c>
      <c r="O42" s="73"/>
      <c r="P42" s="74"/>
    </row>
    <row r="43" spans="1:16">
      <c r="A43" s="75"/>
      <c r="B43" s="76" t="s">
        <v>46</v>
      </c>
      <c r="C43" s="77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80">
        <f>N42+N39+N33+N19</f>
        <v>18098</v>
      </c>
      <c r="O43" s="81"/>
      <c r="P43" s="79"/>
    </row>
  </sheetData>
  <mergeCells count="5">
    <mergeCell ref="C2:M2"/>
    <mergeCell ref="C19:M19"/>
    <mergeCell ref="C33:M33"/>
    <mergeCell ref="C39:M39"/>
    <mergeCell ref="C42:M4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B916-88BC-40AA-9ECB-9F2088015B22}">
  <dimension ref="A1:P43"/>
  <sheetViews>
    <sheetView topLeftCell="A38" workbookViewId="0">
      <selection activeCell="Q53" sqref="Q53"/>
    </sheetView>
  </sheetViews>
  <sheetFormatPr defaultRowHeight="15"/>
  <cols>
    <col min="2" max="2" width="21.28515625" customWidth="1"/>
    <col min="3" max="3" width="4" customWidth="1"/>
    <col min="4" max="5" width="3.7109375" customWidth="1"/>
    <col min="6" max="8" width="3.5703125" customWidth="1"/>
    <col min="9" max="9" width="3.28515625" customWidth="1"/>
    <col min="10" max="10" width="3.42578125" customWidth="1"/>
    <col min="11" max="11" width="3.28515625" customWidth="1"/>
    <col min="12" max="12" width="3.5703125" customWidth="1"/>
  </cols>
  <sheetData>
    <row r="1" spans="1:16" ht="15.75">
      <c r="A1" s="1"/>
      <c r="B1" s="2" t="s">
        <v>49</v>
      </c>
      <c r="L1">
        <v>62</v>
      </c>
      <c r="N1" s="3" t="s">
        <v>53</v>
      </c>
    </row>
    <row r="2" spans="1:16">
      <c r="A2" s="3" t="s">
        <v>2</v>
      </c>
      <c r="B2" s="4" t="s">
        <v>3</v>
      </c>
      <c r="C2" s="143" t="s">
        <v>4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3" t="s">
        <v>5</v>
      </c>
      <c r="O2" s="6" t="s">
        <v>6</v>
      </c>
      <c r="P2" s="7" t="s">
        <v>7</v>
      </c>
    </row>
    <row r="3" spans="1:16">
      <c r="A3" s="8">
        <v>1</v>
      </c>
      <c r="B3" s="9" t="s">
        <v>8</v>
      </c>
      <c r="C3" s="10">
        <v>70</v>
      </c>
      <c r="D3" s="11">
        <v>70</v>
      </c>
      <c r="E3" s="11">
        <v>69</v>
      </c>
      <c r="F3" s="11">
        <v>74</v>
      </c>
      <c r="G3" s="11">
        <v>72</v>
      </c>
      <c r="H3" s="11">
        <v>85</v>
      </c>
      <c r="I3" s="12">
        <v>82</v>
      </c>
      <c r="J3" s="13">
        <v>80</v>
      </c>
      <c r="K3" s="13">
        <v>76</v>
      </c>
      <c r="L3" s="13">
        <v>92</v>
      </c>
      <c r="M3" s="14"/>
      <c r="N3" s="8">
        <f>SUM(C3:M3)</f>
        <v>770</v>
      </c>
      <c r="O3" s="9">
        <v>250</v>
      </c>
      <c r="P3" s="18">
        <f t="shared" ref="P3:P33" si="0">N3-O3</f>
        <v>520</v>
      </c>
    </row>
    <row r="4" spans="1:16">
      <c r="A4" s="15">
        <v>2</v>
      </c>
      <c r="B4" s="16" t="s">
        <v>9</v>
      </c>
      <c r="C4" s="17">
        <v>94</v>
      </c>
      <c r="D4" s="18">
        <v>92</v>
      </c>
      <c r="E4" s="18">
        <v>99</v>
      </c>
      <c r="F4" s="18">
        <v>94</v>
      </c>
      <c r="G4" s="18">
        <v>88</v>
      </c>
      <c r="H4" s="18">
        <v>71</v>
      </c>
      <c r="I4" s="18">
        <v>68</v>
      </c>
      <c r="J4" s="13">
        <v>63</v>
      </c>
      <c r="K4" s="13">
        <v>34</v>
      </c>
      <c r="L4" s="13"/>
      <c r="M4" s="14"/>
      <c r="N4" s="8">
        <f t="shared" ref="N4:N18" si="1">SUM(C4:M4)</f>
        <v>703</v>
      </c>
      <c r="O4" s="16">
        <v>250</v>
      </c>
      <c r="P4" s="18">
        <f t="shared" si="0"/>
        <v>453</v>
      </c>
    </row>
    <row r="5" spans="1:16">
      <c r="A5" s="19">
        <v>3</v>
      </c>
      <c r="B5" s="16" t="s">
        <v>10</v>
      </c>
      <c r="C5" s="20">
        <v>74</v>
      </c>
      <c r="D5" s="13">
        <v>73</v>
      </c>
      <c r="E5" s="13">
        <v>94</v>
      </c>
      <c r="F5" s="13">
        <v>72</v>
      </c>
      <c r="G5" s="13">
        <v>70</v>
      </c>
      <c r="H5" s="13">
        <v>96</v>
      </c>
      <c r="I5" s="13">
        <v>67</v>
      </c>
      <c r="J5" s="13">
        <v>80</v>
      </c>
      <c r="K5" s="13">
        <v>61</v>
      </c>
      <c r="L5" s="13">
        <v>33</v>
      </c>
      <c r="M5" s="14"/>
      <c r="N5" s="8">
        <f t="shared" si="1"/>
        <v>720</v>
      </c>
      <c r="O5" s="16">
        <v>250</v>
      </c>
      <c r="P5" s="21">
        <f t="shared" si="0"/>
        <v>470</v>
      </c>
    </row>
    <row r="6" spans="1:16">
      <c r="A6" s="15">
        <v>4</v>
      </c>
      <c r="B6" s="16" t="s">
        <v>11</v>
      </c>
      <c r="C6" s="20"/>
      <c r="D6" s="18"/>
      <c r="E6" s="18"/>
      <c r="F6" s="18"/>
      <c r="G6" s="18"/>
      <c r="H6" s="18"/>
      <c r="I6" s="18"/>
      <c r="J6" s="18"/>
      <c r="K6" s="18"/>
      <c r="L6" s="18"/>
      <c r="M6" s="22"/>
      <c r="N6" s="8">
        <f t="shared" si="1"/>
        <v>0</v>
      </c>
      <c r="O6" s="16">
        <v>250</v>
      </c>
      <c r="P6" s="18">
        <f>N6-O6</f>
        <v>-250</v>
      </c>
    </row>
    <row r="7" spans="1:16">
      <c r="A7" s="19">
        <v>5</v>
      </c>
      <c r="B7" s="16" t="s">
        <v>12</v>
      </c>
      <c r="C7" s="20">
        <v>66</v>
      </c>
      <c r="D7" s="18">
        <v>67</v>
      </c>
      <c r="E7" s="18">
        <v>61</v>
      </c>
      <c r="F7" s="18">
        <v>76</v>
      </c>
      <c r="G7" s="18">
        <v>63</v>
      </c>
      <c r="H7" s="18">
        <v>56</v>
      </c>
      <c r="I7" s="18">
        <v>58</v>
      </c>
      <c r="J7" s="18">
        <v>63</v>
      </c>
      <c r="K7" s="18">
        <v>30</v>
      </c>
      <c r="L7" s="18"/>
      <c r="M7" s="22"/>
      <c r="N7" s="8">
        <f t="shared" si="1"/>
        <v>540</v>
      </c>
      <c r="O7" s="16">
        <v>250</v>
      </c>
      <c r="P7" s="18">
        <f t="shared" si="0"/>
        <v>290</v>
      </c>
    </row>
    <row r="8" spans="1:16">
      <c r="A8" s="15">
        <v>6</v>
      </c>
      <c r="B8" s="16" t="s">
        <v>13</v>
      </c>
      <c r="C8" s="20">
        <v>82</v>
      </c>
      <c r="D8" s="18">
        <v>87</v>
      </c>
      <c r="E8" s="18">
        <v>91</v>
      </c>
      <c r="F8" s="18">
        <v>87</v>
      </c>
      <c r="G8" s="18">
        <v>83</v>
      </c>
      <c r="H8" s="18">
        <v>83</v>
      </c>
      <c r="I8" s="18">
        <v>77</v>
      </c>
      <c r="J8" s="18">
        <v>18</v>
      </c>
      <c r="K8" s="18"/>
      <c r="L8" s="18"/>
      <c r="M8" s="22"/>
      <c r="N8" s="8">
        <f t="shared" si="1"/>
        <v>608</v>
      </c>
      <c r="O8" s="16">
        <v>250</v>
      </c>
      <c r="P8" s="18">
        <f t="shared" si="0"/>
        <v>358</v>
      </c>
    </row>
    <row r="9" spans="1:16">
      <c r="A9" s="19">
        <v>7</v>
      </c>
      <c r="B9" s="16" t="s">
        <v>14</v>
      </c>
      <c r="C9" s="20"/>
      <c r="D9" s="18"/>
      <c r="E9" s="18"/>
      <c r="F9" s="18"/>
      <c r="G9" s="18"/>
      <c r="H9" s="18"/>
      <c r="I9" s="18"/>
      <c r="J9" s="18"/>
      <c r="K9" s="18"/>
      <c r="L9" s="18"/>
      <c r="M9" s="22"/>
      <c r="N9" s="8">
        <f t="shared" si="1"/>
        <v>0</v>
      </c>
      <c r="O9" s="16">
        <v>250</v>
      </c>
      <c r="P9" s="18">
        <f t="shared" si="0"/>
        <v>-250</v>
      </c>
    </row>
    <row r="10" spans="1:16">
      <c r="A10" s="15">
        <v>8</v>
      </c>
      <c r="B10" s="16" t="s">
        <v>15</v>
      </c>
      <c r="C10" s="20">
        <v>74</v>
      </c>
      <c r="D10" s="18">
        <v>67</v>
      </c>
      <c r="E10" s="18">
        <v>66</v>
      </c>
      <c r="F10" s="18">
        <v>62</v>
      </c>
      <c r="G10" s="18">
        <v>60</v>
      </c>
      <c r="H10" s="18">
        <v>67</v>
      </c>
      <c r="I10" s="18">
        <v>71</v>
      </c>
      <c r="J10" s="18">
        <v>61</v>
      </c>
      <c r="K10" s="18">
        <v>55</v>
      </c>
      <c r="L10" s="18"/>
      <c r="M10" s="22"/>
      <c r="N10" s="8">
        <f t="shared" si="1"/>
        <v>583</v>
      </c>
      <c r="O10" s="16">
        <v>250</v>
      </c>
      <c r="P10" s="18">
        <f t="shared" si="0"/>
        <v>333</v>
      </c>
    </row>
    <row r="11" spans="1:16">
      <c r="A11" s="19">
        <v>9</v>
      </c>
      <c r="B11" s="16" t="s">
        <v>16</v>
      </c>
      <c r="C11" s="20">
        <v>71</v>
      </c>
      <c r="D11" s="18">
        <v>68</v>
      </c>
      <c r="E11" s="18">
        <v>68</v>
      </c>
      <c r="F11" s="18">
        <v>70</v>
      </c>
      <c r="G11" s="18">
        <v>64</v>
      </c>
      <c r="H11" s="18">
        <v>66</v>
      </c>
      <c r="I11" s="18">
        <v>75</v>
      </c>
      <c r="J11" s="18">
        <v>60</v>
      </c>
      <c r="K11" s="18"/>
      <c r="L11" s="18"/>
      <c r="M11" s="22"/>
      <c r="N11" s="8">
        <f t="shared" si="1"/>
        <v>542</v>
      </c>
      <c r="O11" s="16">
        <v>250</v>
      </c>
      <c r="P11" s="18">
        <f t="shared" si="0"/>
        <v>292</v>
      </c>
    </row>
    <row r="12" spans="1:16">
      <c r="A12" s="15">
        <v>10</v>
      </c>
      <c r="B12" s="16" t="s">
        <v>17</v>
      </c>
      <c r="C12" s="20">
        <v>79</v>
      </c>
      <c r="D12" s="18">
        <v>77</v>
      </c>
      <c r="E12" s="18">
        <v>84</v>
      </c>
      <c r="F12" s="18">
        <v>74</v>
      </c>
      <c r="G12" s="18">
        <v>78</v>
      </c>
      <c r="H12" s="18">
        <v>76</v>
      </c>
      <c r="I12" s="18">
        <v>80</v>
      </c>
      <c r="J12" s="18">
        <v>37</v>
      </c>
      <c r="K12" s="18"/>
      <c r="L12" s="18"/>
      <c r="M12" s="22"/>
      <c r="N12" s="8">
        <f t="shared" si="1"/>
        <v>585</v>
      </c>
      <c r="O12" s="16">
        <v>250</v>
      </c>
      <c r="P12" s="18">
        <f t="shared" si="0"/>
        <v>335</v>
      </c>
    </row>
    <row r="13" spans="1:16">
      <c r="A13" s="19">
        <v>11</v>
      </c>
      <c r="B13" s="16" t="s">
        <v>18</v>
      </c>
      <c r="C13" s="23">
        <v>71</v>
      </c>
      <c r="D13" s="24">
        <v>65</v>
      </c>
      <c r="E13" s="24">
        <v>65</v>
      </c>
      <c r="F13" s="24">
        <v>65</v>
      </c>
      <c r="G13" s="24">
        <v>63</v>
      </c>
      <c r="H13" s="24">
        <v>63</v>
      </c>
      <c r="I13" s="24">
        <v>67</v>
      </c>
      <c r="J13" s="24">
        <v>57</v>
      </c>
      <c r="K13" s="24"/>
      <c r="L13" s="24"/>
      <c r="M13" s="25"/>
      <c r="N13" s="8">
        <f t="shared" si="1"/>
        <v>516</v>
      </c>
      <c r="O13" s="16">
        <v>250</v>
      </c>
      <c r="P13" s="18">
        <f t="shared" si="0"/>
        <v>266</v>
      </c>
    </row>
    <row r="14" spans="1:16">
      <c r="A14" s="15">
        <v>12</v>
      </c>
      <c r="B14" s="16" t="s">
        <v>19</v>
      </c>
      <c r="C14" s="20">
        <v>63</v>
      </c>
      <c r="D14" s="18">
        <v>66</v>
      </c>
      <c r="E14" s="18">
        <v>66</v>
      </c>
      <c r="F14" s="18">
        <v>65</v>
      </c>
      <c r="G14" s="18">
        <v>67</v>
      </c>
      <c r="H14" s="18">
        <v>71</v>
      </c>
      <c r="I14" s="18">
        <v>65</v>
      </c>
      <c r="J14" s="18">
        <v>56</v>
      </c>
      <c r="K14" s="18"/>
      <c r="L14" s="18"/>
      <c r="M14" s="22"/>
      <c r="N14" s="8">
        <f t="shared" si="1"/>
        <v>519</v>
      </c>
      <c r="O14" s="16">
        <v>250</v>
      </c>
      <c r="P14" s="18">
        <f t="shared" si="0"/>
        <v>269</v>
      </c>
    </row>
    <row r="15" spans="1:16">
      <c r="A15" s="19">
        <v>13</v>
      </c>
      <c r="B15" s="16" t="s">
        <v>20</v>
      </c>
      <c r="C15" s="20">
        <v>74</v>
      </c>
      <c r="D15" s="18">
        <v>76</v>
      </c>
      <c r="E15" s="18">
        <v>76</v>
      </c>
      <c r="F15" s="18">
        <v>74</v>
      </c>
      <c r="G15" s="18">
        <v>77</v>
      </c>
      <c r="H15" s="18">
        <v>78</v>
      </c>
      <c r="I15" s="18">
        <v>84</v>
      </c>
      <c r="J15" s="18">
        <v>81</v>
      </c>
      <c r="K15" s="18">
        <v>75</v>
      </c>
      <c r="L15" s="18">
        <v>37</v>
      </c>
      <c r="M15" s="22"/>
      <c r="N15" s="8">
        <f t="shared" si="1"/>
        <v>732</v>
      </c>
      <c r="O15" s="16">
        <v>250</v>
      </c>
      <c r="P15" s="18">
        <f t="shared" si="0"/>
        <v>482</v>
      </c>
    </row>
    <row r="16" spans="1:16">
      <c r="A16" s="15">
        <v>14</v>
      </c>
      <c r="B16" s="16" t="s">
        <v>21</v>
      </c>
      <c r="C16" s="20">
        <v>71</v>
      </c>
      <c r="D16" s="18">
        <v>80</v>
      </c>
      <c r="E16" s="18">
        <v>79</v>
      </c>
      <c r="F16" s="18">
        <v>75</v>
      </c>
      <c r="G16" s="18">
        <v>75</v>
      </c>
      <c r="H16" s="18">
        <v>87</v>
      </c>
      <c r="I16" s="18">
        <v>76</v>
      </c>
      <c r="J16" s="18">
        <v>76</v>
      </c>
      <c r="K16" s="18"/>
      <c r="L16" s="18"/>
      <c r="M16" s="22"/>
      <c r="N16" s="8">
        <f t="shared" si="1"/>
        <v>619</v>
      </c>
      <c r="O16" s="16">
        <v>250</v>
      </c>
      <c r="P16" s="21">
        <f t="shared" si="0"/>
        <v>369</v>
      </c>
    </row>
    <row r="17" spans="1:16">
      <c r="A17" s="19">
        <v>15</v>
      </c>
      <c r="B17" s="16" t="s">
        <v>22</v>
      </c>
      <c r="C17" s="20">
        <v>75</v>
      </c>
      <c r="D17" s="18">
        <v>67</v>
      </c>
      <c r="E17" s="18">
        <v>75</v>
      </c>
      <c r="F17" s="18">
        <v>78</v>
      </c>
      <c r="G17" s="18">
        <v>76</v>
      </c>
      <c r="H17" s="18">
        <v>80</v>
      </c>
      <c r="I17" s="18">
        <v>76</v>
      </c>
      <c r="J17" s="18">
        <v>80</v>
      </c>
      <c r="K17" s="18">
        <v>52</v>
      </c>
      <c r="L17" s="18"/>
      <c r="M17" s="22"/>
      <c r="N17" s="8">
        <f t="shared" si="1"/>
        <v>659</v>
      </c>
      <c r="O17" s="16">
        <v>250</v>
      </c>
      <c r="P17" s="18">
        <f t="shared" si="0"/>
        <v>409</v>
      </c>
    </row>
    <row r="18" spans="1:16">
      <c r="A18" s="15">
        <v>16</v>
      </c>
      <c r="B18" s="16" t="s">
        <v>23</v>
      </c>
      <c r="C18" s="20">
        <v>66</v>
      </c>
      <c r="D18" s="18">
        <v>80</v>
      </c>
      <c r="E18" s="18">
        <v>80</v>
      </c>
      <c r="F18" s="18">
        <v>70</v>
      </c>
      <c r="G18" s="18">
        <v>76</v>
      </c>
      <c r="H18" s="18">
        <v>80</v>
      </c>
      <c r="I18" s="18">
        <v>79</v>
      </c>
      <c r="J18" s="18"/>
      <c r="K18" s="18"/>
      <c r="L18" s="18"/>
      <c r="M18" s="22"/>
      <c r="N18" s="8">
        <f t="shared" si="1"/>
        <v>531</v>
      </c>
      <c r="O18" s="16">
        <v>250</v>
      </c>
      <c r="P18" s="18">
        <f t="shared" si="0"/>
        <v>281</v>
      </c>
    </row>
    <row r="19" spans="1:16">
      <c r="A19" s="26"/>
      <c r="B19" s="27"/>
      <c r="C19" s="144" t="s">
        <v>24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29">
        <f>SUM(N3:N18)</f>
        <v>8627</v>
      </c>
      <c r="O19" s="30"/>
      <c r="P19" s="31"/>
    </row>
    <row r="20" spans="1:16">
      <c r="A20" s="8">
        <v>18</v>
      </c>
      <c r="B20" s="32" t="s">
        <v>25</v>
      </c>
      <c r="C20" s="33">
        <v>76</v>
      </c>
      <c r="D20" s="34">
        <v>59</v>
      </c>
      <c r="E20" s="34">
        <v>71</v>
      </c>
      <c r="F20" s="34">
        <v>65</v>
      </c>
      <c r="G20" s="34">
        <v>61</v>
      </c>
      <c r="H20" s="34">
        <v>65</v>
      </c>
      <c r="I20" s="34">
        <v>63</v>
      </c>
      <c r="J20" s="34">
        <v>64</v>
      </c>
      <c r="K20" s="35"/>
      <c r="L20" s="35"/>
      <c r="M20" s="36"/>
      <c r="N20" s="37">
        <f>SUM(C20:M20)</f>
        <v>524</v>
      </c>
      <c r="O20" s="9">
        <v>250</v>
      </c>
      <c r="P20" s="13">
        <f t="shared" si="0"/>
        <v>274</v>
      </c>
    </row>
    <row r="21" spans="1:16">
      <c r="A21" s="19">
        <v>20</v>
      </c>
      <c r="B21" s="38" t="s">
        <v>26</v>
      </c>
      <c r="C21" s="20">
        <v>80</v>
      </c>
      <c r="D21" s="18">
        <v>81</v>
      </c>
      <c r="E21" s="18">
        <v>76</v>
      </c>
      <c r="F21" s="18">
        <v>77</v>
      </c>
      <c r="G21" s="18">
        <v>83</v>
      </c>
      <c r="H21" s="18">
        <v>74</v>
      </c>
      <c r="I21" s="18">
        <v>33</v>
      </c>
      <c r="J21" s="18"/>
      <c r="K21" s="22"/>
      <c r="L21" s="22"/>
      <c r="M21" s="39"/>
      <c r="N21" s="37">
        <f t="shared" ref="N21:N32" si="2">SUM(C21:M21)</f>
        <v>504</v>
      </c>
      <c r="O21" s="16">
        <v>250</v>
      </c>
      <c r="P21" s="18">
        <f t="shared" si="0"/>
        <v>254</v>
      </c>
    </row>
    <row r="22" spans="1:16">
      <c r="A22" s="15">
        <v>21</v>
      </c>
      <c r="B22" s="38" t="s">
        <v>27</v>
      </c>
      <c r="C22" s="16">
        <v>71</v>
      </c>
      <c r="D22" s="18">
        <v>73</v>
      </c>
      <c r="E22" s="18">
        <v>61</v>
      </c>
      <c r="F22" s="18">
        <v>77</v>
      </c>
      <c r="G22" s="18">
        <v>73</v>
      </c>
      <c r="H22" s="18">
        <v>77</v>
      </c>
      <c r="I22" s="18">
        <v>67</v>
      </c>
      <c r="J22" s="18">
        <v>66</v>
      </c>
      <c r="K22" s="22">
        <v>29</v>
      </c>
      <c r="L22" s="22"/>
      <c r="M22" s="39"/>
      <c r="N22" s="37">
        <f t="shared" si="2"/>
        <v>594</v>
      </c>
      <c r="O22" s="16">
        <v>250</v>
      </c>
      <c r="P22" s="18">
        <f t="shared" si="0"/>
        <v>344</v>
      </c>
    </row>
    <row r="23" spans="1:16">
      <c r="A23" s="19">
        <v>22</v>
      </c>
      <c r="B23" s="38" t="s">
        <v>28</v>
      </c>
      <c r="C23" s="16">
        <v>78</v>
      </c>
      <c r="D23" s="18">
        <v>77</v>
      </c>
      <c r="E23" s="18">
        <v>83</v>
      </c>
      <c r="F23" s="18">
        <v>79</v>
      </c>
      <c r="G23" s="18">
        <v>77</v>
      </c>
      <c r="H23" s="18">
        <v>82</v>
      </c>
      <c r="I23" s="18">
        <v>48</v>
      </c>
      <c r="J23" s="18">
        <v>36</v>
      </c>
      <c r="K23" s="22"/>
      <c r="L23" s="22"/>
      <c r="M23" s="39"/>
      <c r="N23" s="37">
        <f t="shared" si="2"/>
        <v>560</v>
      </c>
      <c r="O23" s="16">
        <v>250</v>
      </c>
      <c r="P23" s="18">
        <f t="shared" si="0"/>
        <v>310</v>
      </c>
    </row>
    <row r="24" spans="1:16">
      <c r="A24" s="15">
        <v>23</v>
      </c>
      <c r="B24" s="38" t="s">
        <v>29</v>
      </c>
      <c r="C24" s="16"/>
      <c r="D24" s="18"/>
      <c r="E24" s="18"/>
      <c r="F24" s="18"/>
      <c r="G24" s="18"/>
      <c r="H24" s="18"/>
      <c r="I24" s="18"/>
      <c r="J24" s="18"/>
      <c r="K24" s="22"/>
      <c r="L24" s="22"/>
      <c r="M24" s="39"/>
      <c r="N24" s="37">
        <f t="shared" si="2"/>
        <v>0</v>
      </c>
      <c r="O24" s="16">
        <v>250</v>
      </c>
      <c r="P24" s="18">
        <f t="shared" si="0"/>
        <v>-250</v>
      </c>
    </row>
    <row r="25" spans="1:16">
      <c r="A25" s="19">
        <v>24</v>
      </c>
      <c r="B25" s="38" t="s">
        <v>30</v>
      </c>
      <c r="C25" s="16">
        <v>65</v>
      </c>
      <c r="D25" s="18">
        <v>61</v>
      </c>
      <c r="E25" s="18">
        <v>69</v>
      </c>
      <c r="F25" s="18">
        <v>68</v>
      </c>
      <c r="G25" s="18">
        <v>70</v>
      </c>
      <c r="H25" s="18">
        <v>58</v>
      </c>
      <c r="I25" s="18">
        <v>63</v>
      </c>
      <c r="J25" s="18">
        <v>74</v>
      </c>
      <c r="K25" s="22"/>
      <c r="L25" s="22"/>
      <c r="M25" s="39"/>
      <c r="N25" s="37">
        <f t="shared" si="2"/>
        <v>528</v>
      </c>
      <c r="O25" s="16">
        <v>250</v>
      </c>
      <c r="P25" s="21">
        <f t="shared" si="0"/>
        <v>278</v>
      </c>
    </row>
    <row r="26" spans="1:16">
      <c r="A26" s="15">
        <v>25</v>
      </c>
      <c r="B26" s="38" t="s">
        <v>31</v>
      </c>
      <c r="C26" s="16">
        <v>69</v>
      </c>
      <c r="D26" s="18">
        <v>77</v>
      </c>
      <c r="E26" s="18">
        <v>69</v>
      </c>
      <c r="F26" s="18">
        <v>70</v>
      </c>
      <c r="G26" s="18">
        <v>69</v>
      </c>
      <c r="H26" s="18">
        <v>72</v>
      </c>
      <c r="I26" s="18">
        <v>77</v>
      </c>
      <c r="J26" s="18">
        <v>79</v>
      </c>
      <c r="K26" s="22">
        <v>63</v>
      </c>
      <c r="L26" s="22"/>
      <c r="M26" s="39"/>
      <c r="N26" s="37">
        <f t="shared" si="2"/>
        <v>645</v>
      </c>
      <c r="O26" s="16">
        <v>250</v>
      </c>
      <c r="P26" s="18">
        <f t="shared" si="0"/>
        <v>395</v>
      </c>
    </row>
    <row r="27" spans="1:16">
      <c r="A27" s="19">
        <v>26</v>
      </c>
      <c r="B27" s="38" t="s">
        <v>32</v>
      </c>
      <c r="C27" s="16">
        <v>89</v>
      </c>
      <c r="D27" s="18">
        <v>80</v>
      </c>
      <c r="E27" s="18">
        <v>75</v>
      </c>
      <c r="F27" s="18">
        <v>77</v>
      </c>
      <c r="G27" s="18">
        <v>83</v>
      </c>
      <c r="H27" s="18">
        <v>83</v>
      </c>
      <c r="I27" s="18">
        <v>65</v>
      </c>
      <c r="J27" s="18">
        <v>14</v>
      </c>
      <c r="K27" s="22"/>
      <c r="L27" s="22"/>
      <c r="M27" s="39"/>
      <c r="N27" s="37">
        <f t="shared" si="2"/>
        <v>566</v>
      </c>
      <c r="O27" s="16">
        <v>250</v>
      </c>
      <c r="P27" s="21">
        <f t="shared" si="0"/>
        <v>316</v>
      </c>
    </row>
    <row r="28" spans="1:16">
      <c r="A28" s="15">
        <v>27</v>
      </c>
      <c r="B28" s="38" t="s">
        <v>33</v>
      </c>
      <c r="C28" s="16">
        <v>67</v>
      </c>
      <c r="D28" s="18">
        <v>79</v>
      </c>
      <c r="E28" s="18">
        <v>72</v>
      </c>
      <c r="F28" s="18">
        <v>73</v>
      </c>
      <c r="G28" s="18">
        <v>59</v>
      </c>
      <c r="H28" s="18">
        <v>74</v>
      </c>
      <c r="I28" s="18">
        <v>60</v>
      </c>
      <c r="J28" s="18"/>
      <c r="K28" s="22"/>
      <c r="L28" s="22"/>
      <c r="M28" s="39"/>
      <c r="N28" s="37">
        <f t="shared" si="2"/>
        <v>484</v>
      </c>
      <c r="O28" s="16">
        <v>250</v>
      </c>
      <c r="P28" s="18">
        <f t="shared" si="0"/>
        <v>234</v>
      </c>
    </row>
    <row r="29" spans="1:16">
      <c r="A29" s="19">
        <v>28</v>
      </c>
      <c r="B29" s="38" t="s">
        <v>34</v>
      </c>
      <c r="C29" s="16">
        <v>69</v>
      </c>
      <c r="D29" s="18">
        <v>69</v>
      </c>
      <c r="E29" s="18">
        <v>58</v>
      </c>
      <c r="F29" s="18">
        <v>52</v>
      </c>
      <c r="G29" s="18">
        <v>51</v>
      </c>
      <c r="H29" s="18">
        <v>58</v>
      </c>
      <c r="I29" s="18">
        <v>63</v>
      </c>
      <c r="J29" s="18">
        <v>59</v>
      </c>
      <c r="K29" s="22">
        <v>13</v>
      </c>
      <c r="L29" s="22"/>
      <c r="M29" s="39"/>
      <c r="N29" s="37">
        <f t="shared" si="2"/>
        <v>492</v>
      </c>
      <c r="O29" s="16">
        <v>250</v>
      </c>
      <c r="P29" s="21">
        <f t="shared" si="0"/>
        <v>242</v>
      </c>
    </row>
    <row r="30" spans="1:16">
      <c r="A30" s="15">
        <v>29</v>
      </c>
      <c r="B30" s="40" t="s">
        <v>35</v>
      </c>
      <c r="C30" s="41">
        <v>62</v>
      </c>
      <c r="D30" s="24">
        <v>84</v>
      </c>
      <c r="E30" s="24">
        <v>62</v>
      </c>
      <c r="F30" s="24">
        <v>76</v>
      </c>
      <c r="G30" s="24">
        <v>72</v>
      </c>
      <c r="H30" s="24">
        <v>66</v>
      </c>
      <c r="I30" s="24">
        <v>64</v>
      </c>
      <c r="J30" s="24"/>
      <c r="K30" s="25"/>
      <c r="L30" s="25"/>
      <c r="M30" s="42"/>
      <c r="N30" s="37">
        <f t="shared" si="2"/>
        <v>486</v>
      </c>
      <c r="O30" s="41">
        <v>250</v>
      </c>
      <c r="P30" s="24">
        <f t="shared" si="0"/>
        <v>236</v>
      </c>
    </row>
    <row r="31" spans="1:16">
      <c r="A31" s="19">
        <v>30</v>
      </c>
      <c r="B31" s="38" t="s">
        <v>36</v>
      </c>
      <c r="C31" s="16">
        <v>82</v>
      </c>
      <c r="D31" s="18">
        <v>73</v>
      </c>
      <c r="E31" s="18">
        <v>73</v>
      </c>
      <c r="F31" s="18">
        <v>71</v>
      </c>
      <c r="G31" s="18">
        <v>76</v>
      </c>
      <c r="H31" s="18">
        <v>62</v>
      </c>
      <c r="I31" s="18">
        <v>34</v>
      </c>
      <c r="J31" s="18"/>
      <c r="K31" s="22"/>
      <c r="L31" s="22"/>
      <c r="M31" s="39"/>
      <c r="N31" s="37">
        <f t="shared" si="2"/>
        <v>471</v>
      </c>
      <c r="O31" s="16">
        <v>250</v>
      </c>
      <c r="P31" s="18">
        <f t="shared" si="0"/>
        <v>221</v>
      </c>
    </row>
    <row r="32" spans="1:16">
      <c r="A32" s="15">
        <v>31</v>
      </c>
      <c r="B32" s="40" t="s">
        <v>37</v>
      </c>
      <c r="C32" s="41">
        <v>69</v>
      </c>
      <c r="D32" s="24">
        <v>71</v>
      </c>
      <c r="E32" s="24">
        <v>71</v>
      </c>
      <c r="F32" s="24">
        <v>69</v>
      </c>
      <c r="G32" s="24">
        <v>78</v>
      </c>
      <c r="H32" s="24">
        <v>71</v>
      </c>
      <c r="I32" s="24">
        <v>57</v>
      </c>
      <c r="J32" s="24"/>
      <c r="K32" s="25"/>
      <c r="L32" s="25"/>
      <c r="M32" s="25"/>
      <c r="N32" s="37">
        <f t="shared" si="2"/>
        <v>486</v>
      </c>
      <c r="O32" s="41">
        <v>250</v>
      </c>
      <c r="P32" s="24">
        <f t="shared" si="0"/>
        <v>236</v>
      </c>
    </row>
    <row r="33" spans="1:16">
      <c r="A33" s="26"/>
      <c r="B33" s="43"/>
      <c r="C33" s="145" t="s">
        <v>24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44">
        <f>SUM(N20:N32)</f>
        <v>6340</v>
      </c>
      <c r="O33" s="30"/>
      <c r="P33" s="31"/>
    </row>
    <row r="34" spans="1:16">
      <c r="A34" s="45">
        <v>32</v>
      </c>
      <c r="B34" s="45" t="s">
        <v>38</v>
      </c>
      <c r="C34" s="46">
        <v>86</v>
      </c>
      <c r="D34" s="47">
        <v>80</v>
      </c>
      <c r="E34" s="47">
        <v>79</v>
      </c>
      <c r="F34" s="47">
        <v>78</v>
      </c>
      <c r="G34" s="47">
        <v>71</v>
      </c>
      <c r="H34" s="47">
        <v>70</v>
      </c>
      <c r="I34" s="47"/>
      <c r="J34" s="47"/>
      <c r="K34" s="47"/>
      <c r="L34" s="47"/>
      <c r="M34" s="48"/>
      <c r="N34" s="8">
        <f>SUM(C34:M34)</f>
        <v>464</v>
      </c>
      <c r="O34" s="16">
        <v>250</v>
      </c>
      <c r="P34" s="21">
        <f t="shared" ref="P34:P38" si="3">N34-O34</f>
        <v>214</v>
      </c>
    </row>
    <row r="35" spans="1:16">
      <c r="A35" s="17">
        <v>33</v>
      </c>
      <c r="B35" s="17" t="s">
        <v>39</v>
      </c>
      <c r="C35" s="49"/>
      <c r="D35" s="50"/>
      <c r="E35" s="50"/>
      <c r="F35" s="50"/>
      <c r="G35" s="50"/>
      <c r="H35" s="50"/>
      <c r="I35" s="50"/>
      <c r="J35" s="50"/>
      <c r="K35" s="50"/>
      <c r="L35" s="50"/>
      <c r="M35" s="51"/>
      <c r="N35" s="8">
        <f t="shared" ref="N35:N38" si="4">SUM(C35:M35)</f>
        <v>0</v>
      </c>
      <c r="O35" s="16">
        <v>250</v>
      </c>
      <c r="P35" s="18">
        <f t="shared" si="3"/>
        <v>-250</v>
      </c>
    </row>
    <row r="36" spans="1:16">
      <c r="A36" s="17">
        <v>34</v>
      </c>
      <c r="B36" s="17" t="s">
        <v>41</v>
      </c>
      <c r="C36" s="49">
        <v>80</v>
      </c>
      <c r="D36" s="50">
        <v>75</v>
      </c>
      <c r="E36" s="50">
        <v>81</v>
      </c>
      <c r="F36" s="50">
        <v>76</v>
      </c>
      <c r="G36" s="50">
        <v>56</v>
      </c>
      <c r="H36" s="50">
        <v>42</v>
      </c>
      <c r="I36" s="50"/>
      <c r="J36" s="50"/>
      <c r="K36" s="50"/>
      <c r="L36" s="50"/>
      <c r="M36" s="51"/>
      <c r="N36" s="8">
        <f t="shared" si="4"/>
        <v>410</v>
      </c>
      <c r="O36" s="16">
        <v>250</v>
      </c>
      <c r="P36" s="21">
        <f t="shared" si="3"/>
        <v>160</v>
      </c>
    </row>
    <row r="37" spans="1:16">
      <c r="A37" s="52">
        <v>35</v>
      </c>
      <c r="B37" s="52" t="s">
        <v>42</v>
      </c>
      <c r="C37" s="49">
        <v>76</v>
      </c>
      <c r="D37" s="50">
        <v>69</v>
      </c>
      <c r="E37" s="50">
        <v>78</v>
      </c>
      <c r="F37" s="50">
        <v>65</v>
      </c>
      <c r="G37" s="50">
        <v>53</v>
      </c>
      <c r="H37" s="50">
        <v>34</v>
      </c>
      <c r="I37" s="50"/>
      <c r="J37" s="50"/>
      <c r="K37" s="50"/>
      <c r="L37" s="50"/>
      <c r="M37" s="51"/>
      <c r="N37" s="8">
        <f t="shared" si="4"/>
        <v>375</v>
      </c>
      <c r="O37" s="16">
        <v>250</v>
      </c>
      <c r="P37" s="18">
        <f t="shared" si="3"/>
        <v>125</v>
      </c>
    </row>
    <row r="38" spans="1:16">
      <c r="A38" s="52">
        <v>36</v>
      </c>
      <c r="B38" s="52" t="s">
        <v>43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5"/>
      <c r="N38" s="8">
        <f t="shared" si="4"/>
        <v>0</v>
      </c>
      <c r="O38" s="41">
        <v>250</v>
      </c>
      <c r="P38" s="56">
        <f t="shared" si="3"/>
        <v>-250</v>
      </c>
    </row>
    <row r="39" spans="1:16">
      <c r="A39" s="57"/>
      <c r="B39" s="58"/>
      <c r="C39" s="143" t="s">
        <v>24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29">
        <f>SUM(N37,N36,N34)</f>
        <v>1249</v>
      </c>
      <c r="O39" s="59"/>
      <c r="P39" s="60"/>
    </row>
    <row r="40" spans="1:16">
      <c r="A40" s="8">
        <v>37</v>
      </c>
      <c r="B40" s="61" t="s">
        <v>44</v>
      </c>
      <c r="C40" s="62">
        <v>65</v>
      </c>
      <c r="D40" s="63">
        <v>76</v>
      </c>
      <c r="E40" s="63">
        <v>70</v>
      </c>
      <c r="F40" s="63">
        <v>72</v>
      </c>
      <c r="G40" s="63">
        <v>69</v>
      </c>
      <c r="H40" s="63">
        <v>64</v>
      </c>
      <c r="I40" s="63">
        <v>73</v>
      </c>
      <c r="J40" s="63">
        <v>56</v>
      </c>
      <c r="K40" s="63">
        <v>53</v>
      </c>
      <c r="L40" s="63">
        <v>27</v>
      </c>
      <c r="M40" s="64"/>
      <c r="N40" s="8">
        <f>SUM(C40:M40)</f>
        <v>625</v>
      </c>
      <c r="O40" s="16">
        <v>250</v>
      </c>
      <c r="P40" s="18">
        <f t="shared" ref="P40:P41" si="5">N40-O40</f>
        <v>375</v>
      </c>
    </row>
    <row r="41" spans="1:16">
      <c r="A41" s="15">
        <v>38</v>
      </c>
      <c r="B41" s="65" t="s">
        <v>45</v>
      </c>
      <c r="C41" s="66">
        <v>62</v>
      </c>
      <c r="D41" s="67">
        <v>61</v>
      </c>
      <c r="E41" s="67">
        <v>66</v>
      </c>
      <c r="F41" s="67">
        <v>70</v>
      </c>
      <c r="G41" s="67">
        <v>68</v>
      </c>
      <c r="H41" s="67">
        <v>69</v>
      </c>
      <c r="I41" s="67">
        <v>61</v>
      </c>
      <c r="J41" s="67">
        <v>41</v>
      </c>
      <c r="K41" s="67"/>
      <c r="L41" s="67"/>
      <c r="M41" s="68"/>
      <c r="N41" s="8">
        <f>SUM(C41:M41)</f>
        <v>498</v>
      </c>
      <c r="O41" s="16">
        <v>250</v>
      </c>
      <c r="P41" s="18">
        <f t="shared" si="5"/>
        <v>248</v>
      </c>
    </row>
    <row r="42" spans="1:16">
      <c r="A42" s="71"/>
      <c r="B42" s="30"/>
      <c r="C42" s="143" t="s">
        <v>24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8"/>
      <c r="N42" s="72">
        <f>SUM(N40:N41)</f>
        <v>1123</v>
      </c>
      <c r="O42" s="73"/>
      <c r="P42" s="74"/>
    </row>
    <row r="43" spans="1:16">
      <c r="A43" s="75"/>
      <c r="B43" s="76" t="s">
        <v>46</v>
      </c>
      <c r="C43" s="77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80">
        <f>N42+N39+N33+N19</f>
        <v>17339</v>
      </c>
      <c r="O43" s="81"/>
      <c r="P43" s="79"/>
    </row>
  </sheetData>
  <mergeCells count="5">
    <mergeCell ref="C2:M2"/>
    <mergeCell ref="C19:M19"/>
    <mergeCell ref="C33:M33"/>
    <mergeCell ref="C39:M39"/>
    <mergeCell ref="C42:M4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099B-AC08-4928-B26C-83C5E35BECE0}">
  <dimension ref="A1:AG45"/>
  <sheetViews>
    <sheetView tabSelected="1" workbookViewId="0">
      <pane xSplit="2" ySplit="4" topLeftCell="C35" activePane="bottomRight" state="frozen"/>
      <selection pane="bottomRight" activeCell="L46" sqref="L46"/>
      <selection pane="bottomLeft"/>
      <selection pane="topRight"/>
    </sheetView>
  </sheetViews>
  <sheetFormatPr defaultRowHeight="15"/>
  <cols>
    <col min="1" max="1" width="3.28515625" bestFit="1" customWidth="1"/>
    <col min="2" max="2" width="27.140625" bestFit="1" customWidth="1"/>
    <col min="3" max="7" width="11.7109375" bestFit="1" customWidth="1"/>
    <col min="8" max="8" width="13.7109375" bestFit="1" customWidth="1"/>
    <col min="9" max="9" width="11.7109375" bestFit="1" customWidth="1"/>
    <col min="10" max="10" width="13.7109375" bestFit="1" customWidth="1"/>
    <col min="11" max="22" width="11.7109375" bestFit="1" customWidth="1"/>
    <col min="23" max="23" width="11.7109375" customWidth="1"/>
    <col min="24" max="25" width="11.7109375" bestFit="1" customWidth="1"/>
    <col min="26" max="32" width="11.7109375" customWidth="1"/>
  </cols>
  <sheetData>
    <row r="1" spans="1:33" ht="15.75">
      <c r="A1" s="3"/>
      <c r="B1" s="82" t="s">
        <v>54</v>
      </c>
      <c r="U1">
        <v>0</v>
      </c>
    </row>
    <row r="2" spans="1:33">
      <c r="A2" s="3"/>
      <c r="B2" s="83"/>
      <c r="C2" s="84" t="s">
        <v>1</v>
      </c>
      <c r="D2" s="84" t="s">
        <v>47</v>
      </c>
      <c r="E2" s="84" t="s">
        <v>48</v>
      </c>
      <c r="F2" s="84" t="s">
        <v>53</v>
      </c>
      <c r="G2" s="84" t="s">
        <v>51</v>
      </c>
      <c r="H2" s="84" t="s">
        <v>52</v>
      </c>
      <c r="I2" s="84" t="s">
        <v>1</v>
      </c>
      <c r="J2" s="84" t="s">
        <v>47</v>
      </c>
      <c r="K2" s="84" t="s">
        <v>48</v>
      </c>
      <c r="L2" s="84" t="s">
        <v>53</v>
      </c>
      <c r="M2" s="84" t="s">
        <v>51</v>
      </c>
      <c r="N2" s="84" t="s">
        <v>52</v>
      </c>
      <c r="O2" s="84" t="s">
        <v>1</v>
      </c>
      <c r="P2" s="84" t="s">
        <v>47</v>
      </c>
      <c r="Q2" s="84" t="s">
        <v>48</v>
      </c>
      <c r="R2" s="84" t="s">
        <v>53</v>
      </c>
      <c r="S2" s="84" t="s">
        <v>51</v>
      </c>
      <c r="T2" s="84" t="s">
        <v>52</v>
      </c>
      <c r="U2" s="84" t="s">
        <v>1</v>
      </c>
      <c r="V2" s="84" t="s">
        <v>47</v>
      </c>
      <c r="W2" s="84" t="s">
        <v>48</v>
      </c>
      <c r="X2" s="84" t="s">
        <v>53</v>
      </c>
      <c r="Y2" s="84" t="s">
        <v>51</v>
      </c>
      <c r="Z2" s="84" t="s">
        <v>52</v>
      </c>
      <c r="AA2" s="84" t="s">
        <v>1</v>
      </c>
      <c r="AB2" s="84" t="s">
        <v>47</v>
      </c>
      <c r="AC2" s="84" t="s">
        <v>48</v>
      </c>
      <c r="AD2" s="84" t="s">
        <v>53</v>
      </c>
      <c r="AE2" s="84" t="s">
        <v>51</v>
      </c>
      <c r="AF2" s="84" t="s">
        <v>52</v>
      </c>
      <c r="AG2" s="85" t="s">
        <v>55</v>
      </c>
    </row>
    <row r="3" spans="1:33">
      <c r="A3" s="26"/>
      <c r="B3" s="83" t="s">
        <v>3</v>
      </c>
      <c r="C3" s="86">
        <v>46200</v>
      </c>
      <c r="D3" s="86">
        <v>46202</v>
      </c>
      <c r="E3" s="86">
        <v>46203</v>
      </c>
      <c r="F3" s="86">
        <v>46204</v>
      </c>
      <c r="G3" s="86">
        <v>46205</v>
      </c>
      <c r="H3" s="86">
        <v>46206</v>
      </c>
      <c r="I3" s="86">
        <v>46207</v>
      </c>
      <c r="J3" s="86">
        <v>46209</v>
      </c>
      <c r="K3" s="86">
        <v>46210</v>
      </c>
      <c r="L3" s="86">
        <v>46211</v>
      </c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7" t="s">
        <v>56</v>
      </c>
    </row>
    <row r="4" spans="1:33">
      <c r="A4" s="71"/>
      <c r="B4" s="88"/>
      <c r="C4" s="89" t="s">
        <v>57</v>
      </c>
      <c r="D4" s="89" t="s">
        <v>57</v>
      </c>
      <c r="E4" s="89" t="s">
        <v>57</v>
      </c>
      <c r="F4" s="89" t="s">
        <v>57</v>
      </c>
      <c r="G4" s="89" t="s">
        <v>57</v>
      </c>
      <c r="H4" s="89" t="s">
        <v>57</v>
      </c>
      <c r="I4" s="89" t="s">
        <v>57</v>
      </c>
      <c r="J4" s="89" t="s">
        <v>57</v>
      </c>
      <c r="K4" s="89" t="s">
        <v>57</v>
      </c>
      <c r="L4" s="89" t="s">
        <v>57</v>
      </c>
      <c r="M4" s="89" t="s">
        <v>57</v>
      </c>
      <c r="N4" s="89" t="s">
        <v>57</v>
      </c>
      <c r="O4" s="89" t="s">
        <v>57</v>
      </c>
      <c r="P4" s="89" t="s">
        <v>57</v>
      </c>
      <c r="Q4" s="89" t="s">
        <v>57</v>
      </c>
      <c r="R4" s="89" t="s">
        <v>57</v>
      </c>
      <c r="S4" s="89" t="s">
        <v>57</v>
      </c>
      <c r="T4" s="89" t="s">
        <v>57</v>
      </c>
      <c r="U4" s="89" t="s">
        <v>57</v>
      </c>
      <c r="V4" s="89" t="s">
        <v>57</v>
      </c>
      <c r="W4" s="89" t="s">
        <v>57</v>
      </c>
      <c r="X4" s="89" t="s">
        <v>57</v>
      </c>
      <c r="Y4" s="89" t="s">
        <v>57</v>
      </c>
      <c r="Z4" s="89" t="s">
        <v>57</v>
      </c>
      <c r="AA4" s="89" t="s">
        <v>57</v>
      </c>
      <c r="AB4" s="89" t="s">
        <v>57</v>
      </c>
      <c r="AC4" s="89" t="s">
        <v>57</v>
      </c>
      <c r="AD4" s="89" t="s">
        <v>57</v>
      </c>
      <c r="AE4" s="89" t="s">
        <v>57</v>
      </c>
      <c r="AF4" s="89" t="s">
        <v>57</v>
      </c>
      <c r="AG4" s="90"/>
    </row>
    <row r="5" spans="1:33">
      <c r="A5" s="19">
        <v>1</v>
      </c>
      <c r="B5" s="61" t="s">
        <v>8</v>
      </c>
      <c r="C5" s="26">
        <v>712</v>
      </c>
      <c r="D5" s="26">
        <v>555</v>
      </c>
      <c r="E5" s="26">
        <v>651</v>
      </c>
      <c r="F5" s="10">
        <v>981</v>
      </c>
      <c r="G5" s="91">
        <v>966</v>
      </c>
      <c r="H5" s="10">
        <v>946</v>
      </c>
      <c r="I5" s="10">
        <v>929</v>
      </c>
      <c r="J5" s="10">
        <v>896</v>
      </c>
      <c r="K5" s="26">
        <v>906</v>
      </c>
      <c r="L5" s="26">
        <v>770</v>
      </c>
      <c r="M5" s="26"/>
      <c r="N5" s="26"/>
      <c r="O5" s="26"/>
      <c r="P5" s="26"/>
      <c r="Q5" s="26"/>
      <c r="R5" s="26"/>
      <c r="S5" s="26"/>
      <c r="T5" s="92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37">
        <f>SUM(C5:AF5)</f>
        <v>8312</v>
      </c>
    </row>
    <row r="6" spans="1:33">
      <c r="A6" s="15">
        <v>2</v>
      </c>
      <c r="B6" s="65" t="s">
        <v>9</v>
      </c>
      <c r="C6" s="15">
        <v>690</v>
      </c>
      <c r="D6" s="15">
        <v>491</v>
      </c>
      <c r="E6" s="17">
        <v>490</v>
      </c>
      <c r="F6" s="17">
        <v>764</v>
      </c>
      <c r="G6" s="93">
        <v>722</v>
      </c>
      <c r="H6" s="17">
        <v>809</v>
      </c>
      <c r="I6" s="17">
        <v>793</v>
      </c>
      <c r="J6" s="17">
        <v>793</v>
      </c>
      <c r="K6" s="15">
        <v>782</v>
      </c>
      <c r="L6" s="15">
        <v>703</v>
      </c>
      <c r="M6" s="15"/>
      <c r="N6" s="15"/>
      <c r="O6" s="15"/>
      <c r="P6" s="15"/>
      <c r="Q6" s="15"/>
      <c r="R6" s="15"/>
      <c r="S6" s="15"/>
      <c r="T6" s="17"/>
      <c r="U6" s="69"/>
      <c r="V6" s="15"/>
      <c r="W6" s="17"/>
      <c r="X6" s="17"/>
      <c r="Y6" s="15"/>
      <c r="Z6" s="15"/>
      <c r="AA6" s="15"/>
      <c r="AB6" s="15"/>
      <c r="AC6" s="15"/>
      <c r="AD6" s="15"/>
      <c r="AE6" s="15"/>
      <c r="AF6" s="15"/>
      <c r="AG6" s="37">
        <f t="shared" ref="AG6:AG45" si="0">SUM(C6:AF6)</f>
        <v>7037</v>
      </c>
    </row>
    <row r="7" spans="1:33">
      <c r="A7" s="15">
        <v>3</v>
      </c>
      <c r="B7" s="65" t="s">
        <v>10</v>
      </c>
      <c r="C7" s="15">
        <v>647</v>
      </c>
      <c r="D7" s="15">
        <v>429</v>
      </c>
      <c r="E7" s="17">
        <v>467</v>
      </c>
      <c r="F7" s="20">
        <v>696</v>
      </c>
      <c r="G7" s="94">
        <v>752</v>
      </c>
      <c r="H7" s="20">
        <v>815</v>
      </c>
      <c r="I7" s="20">
        <v>746</v>
      </c>
      <c r="J7" s="20">
        <v>730</v>
      </c>
      <c r="K7" s="15">
        <v>780</v>
      </c>
      <c r="L7" s="15">
        <v>720</v>
      </c>
      <c r="M7" s="15"/>
      <c r="N7" s="15"/>
      <c r="O7" s="15"/>
      <c r="P7" s="15"/>
      <c r="Q7" s="15"/>
      <c r="R7" s="15"/>
      <c r="S7" s="15"/>
      <c r="T7" s="17"/>
      <c r="U7" s="15"/>
      <c r="V7" s="15"/>
      <c r="W7" s="17"/>
      <c r="X7" s="17"/>
      <c r="Y7" s="15"/>
      <c r="Z7" s="15"/>
      <c r="AA7" s="15"/>
      <c r="AB7" s="15"/>
      <c r="AC7" s="15"/>
      <c r="AD7" s="15"/>
      <c r="AE7" s="15"/>
      <c r="AF7" s="15"/>
      <c r="AG7" s="37">
        <f t="shared" si="0"/>
        <v>6782</v>
      </c>
    </row>
    <row r="8" spans="1:33">
      <c r="A8" s="15">
        <v>4</v>
      </c>
      <c r="B8" s="65" t="s">
        <v>11</v>
      </c>
      <c r="C8" s="15">
        <v>0</v>
      </c>
      <c r="D8" s="15">
        <v>394</v>
      </c>
      <c r="E8" s="17">
        <v>478</v>
      </c>
      <c r="F8" s="17">
        <v>647</v>
      </c>
      <c r="G8" s="93">
        <v>567</v>
      </c>
      <c r="H8" s="17">
        <v>556</v>
      </c>
      <c r="I8" s="17">
        <v>533</v>
      </c>
      <c r="J8" s="17">
        <v>542</v>
      </c>
      <c r="K8" s="15">
        <v>537</v>
      </c>
      <c r="L8" s="15">
        <v>0</v>
      </c>
      <c r="M8" s="15"/>
      <c r="N8" s="15"/>
      <c r="O8" s="15"/>
      <c r="P8" s="15"/>
      <c r="Q8" s="15"/>
      <c r="R8" s="15"/>
      <c r="S8" s="15"/>
      <c r="T8" s="17"/>
      <c r="U8" s="19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37">
        <f t="shared" si="0"/>
        <v>4254</v>
      </c>
    </row>
    <row r="9" spans="1:33">
      <c r="A9" s="15">
        <v>5</v>
      </c>
      <c r="B9" s="65" t="s">
        <v>12</v>
      </c>
      <c r="C9" s="15">
        <v>583</v>
      </c>
      <c r="D9" s="15">
        <v>484</v>
      </c>
      <c r="E9" s="17">
        <v>494</v>
      </c>
      <c r="F9" s="20">
        <v>643</v>
      </c>
      <c r="G9" s="94">
        <v>619</v>
      </c>
      <c r="H9" s="20">
        <v>0</v>
      </c>
      <c r="I9" s="20">
        <v>0</v>
      </c>
      <c r="J9" s="20">
        <v>590</v>
      </c>
      <c r="K9" s="15">
        <v>479</v>
      </c>
      <c r="L9" s="15">
        <v>540</v>
      </c>
      <c r="M9" s="15"/>
      <c r="N9" s="15"/>
      <c r="O9" s="15"/>
      <c r="P9" s="15"/>
      <c r="Q9" s="15"/>
      <c r="R9" s="15"/>
      <c r="S9" s="15"/>
      <c r="T9" s="17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37">
        <f t="shared" si="0"/>
        <v>4432</v>
      </c>
    </row>
    <row r="10" spans="1:33">
      <c r="A10" s="15">
        <v>6</v>
      </c>
      <c r="B10" s="65" t="s">
        <v>13</v>
      </c>
      <c r="C10" s="15">
        <v>509</v>
      </c>
      <c r="D10" s="15">
        <v>406</v>
      </c>
      <c r="E10" s="17">
        <v>464</v>
      </c>
      <c r="F10" s="17">
        <v>765</v>
      </c>
      <c r="G10" s="93">
        <v>651</v>
      </c>
      <c r="H10" s="17">
        <v>702</v>
      </c>
      <c r="I10" s="17">
        <v>606</v>
      </c>
      <c r="J10" s="17">
        <v>561</v>
      </c>
      <c r="K10" s="15">
        <v>586</v>
      </c>
      <c r="L10" s="15">
        <v>608</v>
      </c>
      <c r="M10" s="15"/>
      <c r="N10" s="15"/>
      <c r="O10" s="15"/>
      <c r="P10" s="15"/>
      <c r="Q10" s="15"/>
      <c r="R10" s="15"/>
      <c r="S10" s="15"/>
      <c r="T10" s="17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37">
        <f t="shared" si="0"/>
        <v>5858</v>
      </c>
    </row>
    <row r="11" spans="1:33">
      <c r="A11" s="15">
        <v>7</v>
      </c>
      <c r="B11" s="65" t="s">
        <v>14</v>
      </c>
      <c r="C11" s="15">
        <v>0</v>
      </c>
      <c r="D11" s="15">
        <v>0</v>
      </c>
      <c r="E11" s="17">
        <v>0</v>
      </c>
      <c r="F11" s="20">
        <v>0</v>
      </c>
      <c r="G11" s="94">
        <v>0</v>
      </c>
      <c r="H11" s="20">
        <v>0</v>
      </c>
      <c r="I11" s="20">
        <v>0</v>
      </c>
      <c r="J11" s="20">
        <v>0</v>
      </c>
      <c r="K11" s="15">
        <v>0</v>
      </c>
      <c r="L11" s="15">
        <v>0</v>
      </c>
      <c r="M11" s="15"/>
      <c r="N11" s="15"/>
      <c r="O11" s="15"/>
      <c r="P11" s="15"/>
      <c r="Q11" s="15"/>
      <c r="R11" s="15"/>
      <c r="S11" s="15"/>
      <c r="T11" s="17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37">
        <f t="shared" si="0"/>
        <v>0</v>
      </c>
    </row>
    <row r="12" spans="1:33">
      <c r="A12" s="15">
        <v>8</v>
      </c>
      <c r="B12" s="65" t="s">
        <v>15</v>
      </c>
      <c r="C12" s="15">
        <v>504</v>
      </c>
      <c r="D12" s="15">
        <v>474</v>
      </c>
      <c r="E12" s="17">
        <v>522</v>
      </c>
      <c r="F12" s="17">
        <v>652</v>
      </c>
      <c r="G12" s="93">
        <v>647</v>
      </c>
      <c r="H12" s="17">
        <v>664</v>
      </c>
      <c r="I12" s="17">
        <v>618</v>
      </c>
      <c r="J12" s="17">
        <v>580</v>
      </c>
      <c r="K12" s="15">
        <v>633</v>
      </c>
      <c r="L12" s="15">
        <v>583</v>
      </c>
      <c r="M12" s="15"/>
      <c r="N12" s="15"/>
      <c r="O12" s="15"/>
      <c r="P12" s="15"/>
      <c r="Q12" s="15"/>
      <c r="R12" s="15"/>
      <c r="S12" s="15"/>
      <c r="T12" s="17"/>
      <c r="U12" s="15"/>
      <c r="V12" s="15"/>
      <c r="W12" s="17"/>
      <c r="X12" s="17"/>
      <c r="Y12" s="15"/>
      <c r="Z12" s="15"/>
      <c r="AA12" s="15"/>
      <c r="AB12" s="15"/>
      <c r="AC12" s="15"/>
      <c r="AD12" s="15"/>
      <c r="AE12" s="15"/>
      <c r="AF12" s="15"/>
      <c r="AG12" s="37">
        <f t="shared" si="0"/>
        <v>5877</v>
      </c>
    </row>
    <row r="13" spans="1:33">
      <c r="A13" s="15">
        <v>9</v>
      </c>
      <c r="B13" s="65" t="s">
        <v>16</v>
      </c>
      <c r="C13" s="15">
        <v>408</v>
      </c>
      <c r="D13" s="15">
        <v>380</v>
      </c>
      <c r="E13" s="17">
        <v>417</v>
      </c>
      <c r="F13" s="20">
        <v>548</v>
      </c>
      <c r="G13" s="94">
        <v>532</v>
      </c>
      <c r="H13" s="20">
        <v>519</v>
      </c>
      <c r="I13" s="20">
        <v>0</v>
      </c>
      <c r="J13" s="20">
        <v>0</v>
      </c>
      <c r="K13" s="15">
        <v>564</v>
      </c>
      <c r="L13" s="15">
        <v>542</v>
      </c>
      <c r="M13" s="15"/>
      <c r="N13" s="15"/>
      <c r="O13" s="15"/>
      <c r="P13" s="15"/>
      <c r="Q13" s="15"/>
      <c r="R13" s="15"/>
      <c r="S13" s="15"/>
      <c r="T13" s="17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37">
        <f t="shared" si="0"/>
        <v>3910</v>
      </c>
    </row>
    <row r="14" spans="1:33">
      <c r="A14" s="15">
        <v>10</v>
      </c>
      <c r="B14" s="65" t="s">
        <v>17</v>
      </c>
      <c r="C14" s="15">
        <v>0</v>
      </c>
      <c r="D14" s="15">
        <v>350</v>
      </c>
      <c r="E14" s="17">
        <v>0</v>
      </c>
      <c r="F14" s="17">
        <v>738</v>
      </c>
      <c r="G14" s="93">
        <v>574</v>
      </c>
      <c r="H14" s="17">
        <v>562</v>
      </c>
      <c r="I14" s="17">
        <v>531</v>
      </c>
      <c r="J14" s="17">
        <v>505</v>
      </c>
      <c r="K14" s="15">
        <v>522</v>
      </c>
      <c r="L14" s="15">
        <v>585</v>
      </c>
      <c r="M14" s="15"/>
      <c r="N14" s="15"/>
      <c r="O14" s="15"/>
      <c r="P14" s="15"/>
      <c r="Q14" s="15"/>
      <c r="R14" s="15"/>
      <c r="S14" s="15"/>
      <c r="T14" s="17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37">
        <f t="shared" si="0"/>
        <v>4367</v>
      </c>
    </row>
    <row r="15" spans="1:33">
      <c r="A15" s="15">
        <v>11</v>
      </c>
      <c r="B15" s="65" t="s">
        <v>18</v>
      </c>
      <c r="C15" s="15">
        <v>414</v>
      </c>
      <c r="D15" s="15">
        <v>354</v>
      </c>
      <c r="E15" s="17">
        <v>385</v>
      </c>
      <c r="F15" s="20">
        <v>508</v>
      </c>
      <c r="G15" s="94">
        <v>494</v>
      </c>
      <c r="H15" s="20">
        <v>567</v>
      </c>
      <c r="I15" s="20">
        <v>516</v>
      </c>
      <c r="J15" s="20">
        <v>585</v>
      </c>
      <c r="K15" s="15">
        <v>486</v>
      </c>
      <c r="L15" s="15">
        <v>516</v>
      </c>
      <c r="M15" s="15"/>
      <c r="N15" s="15"/>
      <c r="O15" s="15"/>
      <c r="P15" s="15"/>
      <c r="Q15" s="15"/>
      <c r="R15" s="15"/>
      <c r="S15" s="15"/>
      <c r="T15" s="17"/>
      <c r="U15" s="15"/>
      <c r="V15" s="15"/>
      <c r="W15" s="17"/>
      <c r="X15" s="17"/>
      <c r="Y15" s="15"/>
      <c r="Z15" s="15"/>
      <c r="AA15" s="15"/>
      <c r="AB15" s="15"/>
      <c r="AC15" s="15"/>
      <c r="AD15" s="15"/>
      <c r="AE15" s="15"/>
      <c r="AF15" s="15"/>
      <c r="AG15" s="37">
        <f t="shared" si="0"/>
        <v>4825</v>
      </c>
    </row>
    <row r="16" spans="1:33">
      <c r="A16" s="15">
        <v>12</v>
      </c>
      <c r="B16" s="65" t="s">
        <v>19</v>
      </c>
      <c r="C16" s="15">
        <v>434</v>
      </c>
      <c r="D16" s="15">
        <v>318</v>
      </c>
      <c r="E16" s="17">
        <v>398</v>
      </c>
      <c r="F16" s="17">
        <v>564</v>
      </c>
      <c r="G16" s="93">
        <v>576</v>
      </c>
      <c r="H16" s="17">
        <v>563</v>
      </c>
      <c r="I16" s="17">
        <v>504</v>
      </c>
      <c r="J16" s="17">
        <v>521</v>
      </c>
      <c r="K16" s="15">
        <v>540</v>
      </c>
      <c r="L16" s="15">
        <v>519</v>
      </c>
      <c r="M16" s="15"/>
      <c r="N16" s="15"/>
      <c r="O16" s="15"/>
      <c r="P16" s="15"/>
      <c r="Q16" s="15"/>
      <c r="R16" s="15"/>
      <c r="S16" s="15"/>
      <c r="T16" s="17"/>
      <c r="U16" s="15"/>
      <c r="V16" s="15"/>
      <c r="W16" s="17"/>
      <c r="X16" s="17"/>
      <c r="Y16" s="15"/>
      <c r="Z16" s="15"/>
      <c r="AA16" s="15"/>
      <c r="AB16" s="15"/>
      <c r="AC16" s="15"/>
      <c r="AD16" s="15"/>
      <c r="AE16" s="15"/>
      <c r="AF16" s="15"/>
      <c r="AG16" s="37">
        <f t="shared" si="0"/>
        <v>4937</v>
      </c>
    </row>
    <row r="17" spans="1:33">
      <c r="A17" s="15">
        <v>13</v>
      </c>
      <c r="B17" s="65" t="s">
        <v>20</v>
      </c>
      <c r="C17" s="15">
        <v>679</v>
      </c>
      <c r="D17" s="15">
        <v>565</v>
      </c>
      <c r="E17" s="17">
        <v>625</v>
      </c>
      <c r="F17" s="20">
        <v>931</v>
      </c>
      <c r="G17" s="94">
        <v>822</v>
      </c>
      <c r="H17" s="20">
        <v>907</v>
      </c>
      <c r="I17" s="20">
        <v>861</v>
      </c>
      <c r="J17" s="20">
        <v>767</v>
      </c>
      <c r="K17" s="15">
        <v>801</v>
      </c>
      <c r="L17" s="15">
        <v>732</v>
      </c>
      <c r="M17" s="15"/>
      <c r="N17" s="15"/>
      <c r="O17" s="15"/>
      <c r="P17" s="15"/>
      <c r="Q17" s="15"/>
      <c r="R17" s="15"/>
      <c r="T17" s="17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37">
        <f t="shared" si="0"/>
        <v>7690</v>
      </c>
    </row>
    <row r="18" spans="1:33">
      <c r="A18" s="15">
        <v>14</v>
      </c>
      <c r="B18" s="65" t="s">
        <v>21</v>
      </c>
      <c r="C18" s="15">
        <v>0</v>
      </c>
      <c r="D18" s="15">
        <v>0</v>
      </c>
      <c r="E18" s="17">
        <v>0</v>
      </c>
      <c r="F18" s="17">
        <v>0</v>
      </c>
      <c r="G18" s="93">
        <v>0</v>
      </c>
      <c r="H18" s="17">
        <v>0</v>
      </c>
      <c r="I18" s="17">
        <v>0</v>
      </c>
      <c r="J18" s="17">
        <v>479</v>
      </c>
      <c r="K18" s="15">
        <v>529</v>
      </c>
      <c r="L18" s="15">
        <v>619</v>
      </c>
      <c r="M18" s="15"/>
      <c r="N18" s="15"/>
      <c r="O18" s="15"/>
      <c r="P18" s="15"/>
      <c r="Q18" s="15"/>
      <c r="R18" s="15"/>
      <c r="S18" s="15"/>
      <c r="T18" s="17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37">
        <f t="shared" si="0"/>
        <v>1627</v>
      </c>
    </row>
    <row r="19" spans="1:33">
      <c r="A19" s="15">
        <v>15</v>
      </c>
      <c r="B19" s="65" t="s">
        <v>22</v>
      </c>
      <c r="C19" s="15">
        <v>0</v>
      </c>
      <c r="D19" s="15">
        <v>515</v>
      </c>
      <c r="E19" s="17">
        <v>539</v>
      </c>
      <c r="F19" s="20">
        <v>675</v>
      </c>
      <c r="G19" s="94">
        <v>688</v>
      </c>
      <c r="H19" s="20">
        <v>805</v>
      </c>
      <c r="I19" s="20">
        <v>0</v>
      </c>
      <c r="J19" s="20">
        <v>516</v>
      </c>
      <c r="K19" s="15">
        <v>625</v>
      </c>
      <c r="L19" s="15">
        <v>659</v>
      </c>
      <c r="M19" s="15"/>
      <c r="N19" s="15"/>
      <c r="O19" s="15"/>
      <c r="P19" s="15"/>
      <c r="Q19" s="15"/>
      <c r="R19" s="15"/>
      <c r="S19" s="15"/>
      <c r="T19" s="17"/>
      <c r="U19" s="15"/>
      <c r="V19" s="15"/>
      <c r="W19" s="17"/>
      <c r="X19" s="17"/>
      <c r="Y19" s="15"/>
      <c r="Z19" s="15"/>
      <c r="AA19" s="15"/>
      <c r="AB19" s="15"/>
      <c r="AC19" s="15"/>
      <c r="AD19" s="15"/>
      <c r="AE19" s="15"/>
      <c r="AF19" s="15"/>
      <c r="AG19" s="37">
        <f t="shared" si="0"/>
        <v>5022</v>
      </c>
    </row>
    <row r="20" spans="1:33">
      <c r="A20" s="15">
        <v>16</v>
      </c>
      <c r="B20" s="65" t="s">
        <v>23</v>
      </c>
      <c r="C20" s="15">
        <v>0</v>
      </c>
      <c r="D20" s="15">
        <v>331</v>
      </c>
      <c r="E20" s="17">
        <v>424</v>
      </c>
      <c r="F20" s="17">
        <v>558</v>
      </c>
      <c r="G20" s="93">
        <v>563</v>
      </c>
      <c r="H20" s="17">
        <v>381</v>
      </c>
      <c r="I20" s="17">
        <v>592</v>
      </c>
      <c r="J20" s="17">
        <v>460</v>
      </c>
      <c r="K20" s="15">
        <v>505</v>
      </c>
      <c r="L20" s="15">
        <v>531</v>
      </c>
      <c r="M20" s="15"/>
      <c r="N20" s="15"/>
      <c r="O20" s="15"/>
      <c r="P20" s="15"/>
      <c r="Q20" s="15"/>
      <c r="R20" s="15"/>
      <c r="S20" s="15"/>
      <c r="T20" s="17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37">
        <f t="shared" si="0"/>
        <v>4345</v>
      </c>
    </row>
    <row r="21" spans="1:33">
      <c r="A21" s="3"/>
      <c r="B21" s="83" t="s">
        <v>24</v>
      </c>
      <c r="C21" s="3">
        <f>SUM(C5:C20)</f>
        <v>5580</v>
      </c>
      <c r="D21" s="3">
        <f>SUM(D5:D20)</f>
        <v>6046</v>
      </c>
      <c r="E21" s="57">
        <f>SUM(E5:E20)</f>
        <v>6354</v>
      </c>
      <c r="F21" s="96">
        <f>SUM(F5:F20)</f>
        <v>9670</v>
      </c>
      <c r="G21" s="96">
        <f>SUM(G5:G20)</f>
        <v>9173</v>
      </c>
      <c r="H21" s="3">
        <f>SUM(H5:H20)</f>
        <v>8796</v>
      </c>
      <c r="I21" s="3">
        <f>SUM(I5:I20)</f>
        <v>7229</v>
      </c>
      <c r="J21" s="3">
        <f>SUM(J5:J20)</f>
        <v>8525</v>
      </c>
      <c r="K21" s="3">
        <f>SUM(K5:K20)</f>
        <v>9275</v>
      </c>
      <c r="L21" s="3">
        <f>SUM(L5:L20)</f>
        <v>8627</v>
      </c>
      <c r="M21" s="3"/>
      <c r="N21" s="3"/>
      <c r="O21" s="3"/>
      <c r="P21" s="3"/>
      <c r="Q21" s="3"/>
      <c r="R21" s="3"/>
      <c r="S21" s="3"/>
      <c r="T21" s="3"/>
      <c r="U21" s="97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98">
        <f t="shared" si="0"/>
        <v>79275</v>
      </c>
    </row>
    <row r="22" spans="1:33">
      <c r="A22" s="8">
        <v>18</v>
      </c>
      <c r="B22" s="99" t="s">
        <v>25</v>
      </c>
      <c r="C22" s="8">
        <v>479</v>
      </c>
      <c r="D22" s="37">
        <v>399</v>
      </c>
      <c r="E22" s="37">
        <v>415</v>
      </c>
      <c r="F22" s="100">
        <v>488</v>
      </c>
      <c r="G22" s="101">
        <v>517</v>
      </c>
      <c r="H22" s="8">
        <v>548</v>
      </c>
      <c r="I22" s="37">
        <v>525</v>
      </c>
      <c r="J22" s="8">
        <v>617</v>
      </c>
      <c r="K22" s="37">
        <v>539</v>
      </c>
      <c r="L22" s="37">
        <v>524</v>
      </c>
      <c r="M22" s="37"/>
      <c r="N22" s="37"/>
      <c r="O22" s="37"/>
      <c r="P22" s="37"/>
      <c r="Q22" s="37"/>
      <c r="R22" s="37"/>
      <c r="S22" s="100"/>
      <c r="T22" s="8"/>
      <c r="U22" s="37"/>
      <c r="V22" s="45"/>
      <c r="W22" s="8"/>
      <c r="X22" s="37"/>
      <c r="Y22" s="37"/>
      <c r="Z22" s="37"/>
      <c r="AA22" s="37"/>
      <c r="AB22" s="37"/>
      <c r="AC22" s="37"/>
      <c r="AD22" s="37"/>
      <c r="AE22" s="37"/>
      <c r="AF22" s="37"/>
      <c r="AG22" s="37">
        <f t="shared" si="0"/>
        <v>5051</v>
      </c>
    </row>
    <row r="23" spans="1:33">
      <c r="A23" s="15">
        <v>20</v>
      </c>
      <c r="B23" s="102" t="s">
        <v>26</v>
      </c>
      <c r="C23" s="15">
        <v>446</v>
      </c>
      <c r="D23" s="103">
        <v>416</v>
      </c>
      <c r="E23" s="103">
        <v>395</v>
      </c>
      <c r="F23" s="17">
        <v>529</v>
      </c>
      <c r="G23" s="93">
        <v>560</v>
      </c>
      <c r="H23" s="15">
        <v>562</v>
      </c>
      <c r="I23" s="103">
        <v>570</v>
      </c>
      <c r="J23" s="15">
        <v>703</v>
      </c>
      <c r="K23" s="103">
        <v>658</v>
      </c>
      <c r="L23" s="103">
        <v>504</v>
      </c>
      <c r="M23" s="103"/>
      <c r="N23" s="103"/>
      <c r="O23" s="103"/>
      <c r="P23" s="103"/>
      <c r="Q23" s="103"/>
      <c r="R23" s="103"/>
      <c r="S23" s="65"/>
      <c r="T23" s="15"/>
      <c r="U23" s="103"/>
      <c r="V23" s="17"/>
      <c r="W23" s="15"/>
      <c r="X23" s="103"/>
      <c r="Y23" s="103"/>
      <c r="Z23" s="103"/>
      <c r="AA23" s="103"/>
      <c r="AB23" s="103"/>
      <c r="AC23" s="103"/>
      <c r="AD23" s="103"/>
      <c r="AE23" s="103"/>
      <c r="AF23" s="103"/>
      <c r="AG23" s="37">
        <f t="shared" si="0"/>
        <v>5343</v>
      </c>
    </row>
    <row r="24" spans="1:33">
      <c r="A24" s="15">
        <v>21</v>
      </c>
      <c r="B24" s="102" t="s">
        <v>27</v>
      </c>
      <c r="C24" s="15">
        <v>483</v>
      </c>
      <c r="D24" s="103">
        <v>403</v>
      </c>
      <c r="E24" s="103">
        <v>413</v>
      </c>
      <c r="F24" s="65">
        <v>661</v>
      </c>
      <c r="G24" s="93">
        <v>631</v>
      </c>
      <c r="H24" s="15">
        <v>678</v>
      </c>
      <c r="I24" s="103">
        <v>679</v>
      </c>
      <c r="J24" s="15">
        <v>557</v>
      </c>
      <c r="K24" s="103">
        <v>558</v>
      </c>
      <c r="L24" s="103">
        <v>594</v>
      </c>
      <c r="M24" s="103"/>
      <c r="N24" s="103"/>
      <c r="O24" s="103"/>
      <c r="P24" s="103"/>
      <c r="Q24" s="103"/>
      <c r="R24" s="103"/>
      <c r="S24" s="65"/>
      <c r="T24" s="15"/>
      <c r="U24" s="103"/>
      <c r="V24" s="17"/>
      <c r="W24" s="15"/>
      <c r="X24" s="103"/>
      <c r="Y24" s="103"/>
      <c r="Z24" s="103"/>
      <c r="AA24" s="103"/>
      <c r="AB24" s="103"/>
      <c r="AC24" s="103"/>
      <c r="AD24" s="103"/>
      <c r="AE24" s="103"/>
      <c r="AF24" s="103"/>
      <c r="AG24" s="37">
        <f t="shared" si="0"/>
        <v>5657</v>
      </c>
    </row>
    <row r="25" spans="1:33">
      <c r="A25" s="15">
        <v>22</v>
      </c>
      <c r="B25" s="102" t="s">
        <v>28</v>
      </c>
      <c r="C25" s="15">
        <v>0</v>
      </c>
      <c r="D25" s="103">
        <v>0</v>
      </c>
      <c r="E25" s="103">
        <v>384</v>
      </c>
      <c r="F25" s="17">
        <v>513</v>
      </c>
      <c r="G25" s="93">
        <v>566</v>
      </c>
      <c r="H25" s="15">
        <v>588</v>
      </c>
      <c r="I25" s="103">
        <v>482</v>
      </c>
      <c r="J25" s="15">
        <v>400</v>
      </c>
      <c r="K25" s="103">
        <v>513</v>
      </c>
      <c r="L25" s="103">
        <v>560</v>
      </c>
      <c r="M25" s="103"/>
      <c r="N25" s="103"/>
      <c r="O25" s="103"/>
      <c r="P25" s="103"/>
      <c r="Q25" s="103"/>
      <c r="R25" s="103"/>
      <c r="S25" s="65"/>
      <c r="T25" s="15"/>
      <c r="U25" s="103"/>
      <c r="V25" s="17"/>
      <c r="W25" s="15"/>
      <c r="X25" s="103"/>
      <c r="Y25" s="103"/>
      <c r="Z25" s="103"/>
      <c r="AA25" s="103"/>
      <c r="AB25" s="103"/>
      <c r="AC25" s="103"/>
      <c r="AD25" s="103"/>
      <c r="AE25" s="103"/>
      <c r="AF25" s="103"/>
      <c r="AG25" s="37">
        <f t="shared" si="0"/>
        <v>4006</v>
      </c>
    </row>
    <row r="26" spans="1:33">
      <c r="A26" s="15">
        <v>23</v>
      </c>
      <c r="B26" s="102" t="s">
        <v>29</v>
      </c>
      <c r="C26" s="15">
        <v>0</v>
      </c>
      <c r="D26" s="104">
        <v>264</v>
      </c>
      <c r="E26" s="104">
        <v>360</v>
      </c>
      <c r="F26" s="65">
        <v>0</v>
      </c>
      <c r="G26" s="93">
        <v>0</v>
      </c>
      <c r="H26" s="15">
        <v>0</v>
      </c>
      <c r="I26" s="103">
        <v>0</v>
      </c>
      <c r="J26" s="15">
        <v>0</v>
      </c>
      <c r="K26" s="104">
        <v>0</v>
      </c>
      <c r="L26" s="104">
        <v>0</v>
      </c>
      <c r="M26" s="104"/>
      <c r="N26" s="104"/>
      <c r="O26" s="104"/>
      <c r="P26" s="104"/>
      <c r="Q26" s="104"/>
      <c r="R26" s="104"/>
      <c r="S26" s="105"/>
      <c r="T26" s="15"/>
      <c r="U26" s="104"/>
      <c r="V26" s="106"/>
      <c r="W26" s="107"/>
      <c r="X26" s="103"/>
      <c r="Y26" s="104"/>
      <c r="Z26" s="104"/>
      <c r="AA26" s="104"/>
      <c r="AB26" s="104"/>
      <c r="AC26" s="104"/>
      <c r="AD26" s="104"/>
      <c r="AE26" s="104"/>
      <c r="AF26" s="104"/>
      <c r="AG26" s="37">
        <f t="shared" si="0"/>
        <v>624</v>
      </c>
    </row>
    <row r="27" spans="1:33">
      <c r="A27" s="15">
        <v>24</v>
      </c>
      <c r="B27" s="102" t="s">
        <v>30</v>
      </c>
      <c r="C27" s="15">
        <v>430</v>
      </c>
      <c r="D27" s="38">
        <v>0</v>
      </c>
      <c r="E27" s="38">
        <v>0</v>
      </c>
      <c r="F27" s="17">
        <v>0</v>
      </c>
      <c r="G27" s="93">
        <v>360</v>
      </c>
      <c r="H27" s="15">
        <v>0</v>
      </c>
      <c r="I27" s="103">
        <v>0</v>
      </c>
      <c r="J27" s="15">
        <v>459</v>
      </c>
      <c r="K27" s="38">
        <v>480</v>
      </c>
      <c r="L27" s="38">
        <v>528</v>
      </c>
      <c r="M27" s="38"/>
      <c r="N27" s="38"/>
      <c r="O27" s="38"/>
      <c r="P27" s="38"/>
      <c r="Q27" s="38"/>
      <c r="R27" s="38"/>
      <c r="S27" s="102"/>
      <c r="T27" s="108"/>
      <c r="U27" s="38"/>
      <c r="V27" s="109"/>
      <c r="W27" s="108"/>
      <c r="X27" s="38"/>
      <c r="Y27" s="38"/>
      <c r="Z27" s="38"/>
      <c r="AA27" s="38"/>
      <c r="AB27" s="38"/>
      <c r="AC27" s="38"/>
      <c r="AD27" s="38"/>
      <c r="AE27" s="38"/>
      <c r="AF27" s="38"/>
      <c r="AG27" s="37">
        <f t="shared" si="0"/>
        <v>2257</v>
      </c>
    </row>
    <row r="28" spans="1:33">
      <c r="A28" s="15">
        <v>25</v>
      </c>
      <c r="B28" s="102" t="s">
        <v>31</v>
      </c>
      <c r="C28" s="15">
        <v>602</v>
      </c>
      <c r="D28" s="38">
        <v>505</v>
      </c>
      <c r="E28" s="38">
        <v>566</v>
      </c>
      <c r="F28" s="65">
        <v>577</v>
      </c>
      <c r="G28" s="93">
        <v>694</v>
      </c>
      <c r="H28" s="15">
        <v>638</v>
      </c>
      <c r="I28" s="103">
        <v>612</v>
      </c>
      <c r="J28" s="15">
        <v>625</v>
      </c>
      <c r="K28" s="38">
        <v>667</v>
      </c>
      <c r="L28" s="38">
        <v>645</v>
      </c>
      <c r="M28" s="38"/>
      <c r="N28" s="38"/>
      <c r="O28" s="38"/>
      <c r="P28" s="38"/>
      <c r="Q28" s="38"/>
      <c r="R28" s="38"/>
      <c r="S28" s="102"/>
      <c r="T28" s="15"/>
      <c r="U28" s="38"/>
      <c r="V28" s="109"/>
      <c r="W28" s="108"/>
      <c r="X28" s="103"/>
      <c r="Y28" s="38"/>
      <c r="Z28" s="38"/>
      <c r="AA28" s="38"/>
      <c r="AB28" s="38"/>
      <c r="AC28" s="38"/>
      <c r="AD28" s="38"/>
      <c r="AE28" s="38"/>
      <c r="AF28" s="38"/>
      <c r="AG28" s="37">
        <f t="shared" si="0"/>
        <v>6131</v>
      </c>
    </row>
    <row r="29" spans="1:33">
      <c r="A29" s="15">
        <v>26</v>
      </c>
      <c r="B29" s="102" t="s">
        <v>32</v>
      </c>
      <c r="C29" s="15">
        <v>414</v>
      </c>
      <c r="D29" s="38">
        <v>368</v>
      </c>
      <c r="E29" s="38">
        <v>484</v>
      </c>
      <c r="F29" s="17">
        <v>661</v>
      </c>
      <c r="G29" s="93">
        <v>658</v>
      </c>
      <c r="H29" s="15">
        <v>668</v>
      </c>
      <c r="I29" s="103">
        <v>717</v>
      </c>
      <c r="J29" s="15">
        <v>607</v>
      </c>
      <c r="K29" s="38">
        <v>538</v>
      </c>
      <c r="L29" s="38">
        <v>566</v>
      </c>
      <c r="M29" s="38"/>
      <c r="N29" s="38"/>
      <c r="O29" s="38"/>
      <c r="P29" s="38"/>
      <c r="Q29" s="38"/>
      <c r="R29" s="38"/>
      <c r="S29" s="102"/>
      <c r="T29" s="15"/>
      <c r="U29" s="38"/>
      <c r="V29" s="109"/>
      <c r="W29" s="108"/>
      <c r="X29" s="103"/>
      <c r="Y29" s="38"/>
      <c r="Z29" s="38"/>
      <c r="AA29" s="38"/>
      <c r="AB29" s="38"/>
      <c r="AC29" s="38"/>
      <c r="AD29" s="38"/>
      <c r="AE29" s="38"/>
      <c r="AF29" s="38"/>
      <c r="AG29" s="37">
        <f t="shared" si="0"/>
        <v>5681</v>
      </c>
    </row>
    <row r="30" spans="1:33">
      <c r="A30" s="15">
        <v>27</v>
      </c>
      <c r="B30" s="102" t="s">
        <v>33</v>
      </c>
      <c r="C30" s="15">
        <v>0</v>
      </c>
      <c r="D30" s="38">
        <v>341</v>
      </c>
      <c r="E30" s="38">
        <v>420</v>
      </c>
      <c r="F30" s="65">
        <v>675</v>
      </c>
      <c r="G30" s="93">
        <v>675</v>
      </c>
      <c r="H30" s="15">
        <v>639</v>
      </c>
      <c r="I30" s="103">
        <v>679</v>
      </c>
      <c r="J30" s="15">
        <v>530</v>
      </c>
      <c r="K30" s="38">
        <v>490</v>
      </c>
      <c r="L30" s="38">
        <v>484</v>
      </c>
      <c r="M30" s="38"/>
      <c r="N30" s="38"/>
      <c r="O30" s="38"/>
      <c r="P30" s="38"/>
      <c r="Q30" s="38"/>
      <c r="R30" s="38"/>
      <c r="S30" s="102"/>
      <c r="T30" s="108"/>
      <c r="U30" s="38"/>
      <c r="V30" s="109"/>
      <c r="W30" s="108"/>
      <c r="X30" s="38"/>
      <c r="Y30" s="38"/>
      <c r="Z30" s="38"/>
      <c r="AA30" s="38"/>
      <c r="AB30" s="38"/>
      <c r="AC30" s="38"/>
      <c r="AD30" s="38"/>
      <c r="AE30" s="38"/>
      <c r="AF30" s="38"/>
      <c r="AG30" s="37">
        <f t="shared" si="0"/>
        <v>4933</v>
      </c>
    </row>
    <row r="31" spans="1:33">
      <c r="A31" s="15">
        <v>28</v>
      </c>
      <c r="B31" s="102" t="s">
        <v>34</v>
      </c>
      <c r="C31" s="15">
        <v>294</v>
      </c>
      <c r="D31" s="38">
        <v>0</v>
      </c>
      <c r="E31" s="38">
        <v>335</v>
      </c>
      <c r="F31" s="17">
        <v>457</v>
      </c>
      <c r="G31" s="93">
        <v>541</v>
      </c>
      <c r="H31" s="15">
        <v>488</v>
      </c>
      <c r="I31" s="103">
        <v>433</v>
      </c>
      <c r="J31" s="15">
        <v>521</v>
      </c>
      <c r="K31" s="38">
        <v>510</v>
      </c>
      <c r="L31" s="38">
        <v>492</v>
      </c>
      <c r="M31" s="38"/>
      <c r="N31" s="38"/>
      <c r="O31" s="38"/>
      <c r="P31" s="38"/>
      <c r="Q31" s="38"/>
      <c r="R31" s="38"/>
      <c r="S31" s="102"/>
      <c r="T31" s="15"/>
      <c r="U31" s="38"/>
      <c r="V31" s="109"/>
      <c r="W31" s="108"/>
      <c r="X31" s="103"/>
      <c r="Y31" s="38"/>
      <c r="Z31" s="38"/>
      <c r="AA31" s="38"/>
      <c r="AB31" s="38"/>
      <c r="AC31" s="38"/>
      <c r="AD31" s="38"/>
      <c r="AE31" s="38"/>
      <c r="AF31" s="38"/>
      <c r="AG31" s="37">
        <f t="shared" si="0"/>
        <v>4071</v>
      </c>
    </row>
    <row r="32" spans="1:33">
      <c r="A32" s="15">
        <v>29</v>
      </c>
      <c r="B32" s="110" t="s">
        <v>35</v>
      </c>
      <c r="C32" s="15">
        <v>269</v>
      </c>
      <c r="D32" s="40">
        <v>317</v>
      </c>
      <c r="E32" s="40">
        <v>411</v>
      </c>
      <c r="F32" s="65">
        <v>0</v>
      </c>
      <c r="G32" s="93">
        <v>482</v>
      </c>
      <c r="H32" s="15">
        <v>516</v>
      </c>
      <c r="I32" s="103">
        <v>484</v>
      </c>
      <c r="J32" s="15">
        <v>471</v>
      </c>
      <c r="K32" s="40">
        <v>454</v>
      </c>
      <c r="L32" s="40">
        <v>486</v>
      </c>
      <c r="M32" s="40"/>
      <c r="N32" s="40"/>
      <c r="O32" s="40"/>
      <c r="P32" s="40"/>
      <c r="Q32" s="40"/>
      <c r="R32" s="40"/>
      <c r="S32" s="110"/>
      <c r="T32" s="111"/>
      <c r="U32" s="40"/>
      <c r="V32" s="112"/>
      <c r="W32" s="111"/>
      <c r="X32" s="40"/>
      <c r="Y32" s="40"/>
      <c r="Z32" s="40"/>
      <c r="AA32" s="40"/>
      <c r="AB32" s="40"/>
      <c r="AC32" s="40"/>
      <c r="AD32" s="40"/>
      <c r="AE32" s="40"/>
      <c r="AF32" s="40"/>
      <c r="AG32" s="37">
        <f t="shared" si="0"/>
        <v>3890</v>
      </c>
    </row>
    <row r="33" spans="1:33">
      <c r="A33" s="15">
        <v>30</v>
      </c>
      <c r="B33" s="102" t="s">
        <v>36</v>
      </c>
      <c r="C33" s="15">
        <v>407</v>
      </c>
      <c r="D33" s="38">
        <v>408</v>
      </c>
      <c r="E33" s="38">
        <v>383</v>
      </c>
      <c r="F33" s="17">
        <v>542</v>
      </c>
      <c r="G33" s="93">
        <v>614</v>
      </c>
      <c r="H33" s="15">
        <v>537</v>
      </c>
      <c r="I33" s="103">
        <v>444</v>
      </c>
      <c r="J33" s="15">
        <v>498</v>
      </c>
      <c r="K33" s="38">
        <v>504</v>
      </c>
      <c r="L33" s="38">
        <v>471</v>
      </c>
      <c r="M33" s="38"/>
      <c r="N33" s="38"/>
      <c r="O33" s="38"/>
      <c r="P33" s="38"/>
      <c r="Q33" s="38"/>
      <c r="R33" s="38"/>
      <c r="S33" s="102"/>
      <c r="T33" s="108"/>
      <c r="U33" s="38"/>
      <c r="V33" s="109"/>
      <c r="W33" s="108"/>
      <c r="X33" s="38"/>
      <c r="Y33" s="38"/>
      <c r="Z33" s="38"/>
      <c r="AA33" s="38"/>
      <c r="AB33" s="38"/>
      <c r="AC33" s="38"/>
      <c r="AD33" s="38"/>
      <c r="AE33" s="38"/>
      <c r="AF33" s="38"/>
      <c r="AG33" s="37">
        <f t="shared" si="0"/>
        <v>4808</v>
      </c>
    </row>
    <row r="34" spans="1:33">
      <c r="A34" s="69">
        <v>31</v>
      </c>
      <c r="B34" s="40" t="s">
        <v>37</v>
      </c>
      <c r="C34" s="69">
        <v>390</v>
      </c>
      <c r="D34" s="40">
        <v>349</v>
      </c>
      <c r="E34" s="40">
        <v>408</v>
      </c>
      <c r="F34" s="70">
        <v>516</v>
      </c>
      <c r="G34" s="113">
        <v>0</v>
      </c>
      <c r="H34" s="69">
        <v>506</v>
      </c>
      <c r="I34" s="114">
        <v>566</v>
      </c>
      <c r="J34" s="95">
        <v>659</v>
      </c>
      <c r="K34" s="40">
        <v>557</v>
      </c>
      <c r="L34" s="40">
        <v>486</v>
      </c>
      <c r="M34" s="40"/>
      <c r="N34" s="40"/>
      <c r="O34" s="40"/>
      <c r="P34" s="40"/>
      <c r="Q34" s="40"/>
      <c r="R34" s="40"/>
      <c r="S34" s="110"/>
      <c r="T34" s="111"/>
      <c r="U34" s="40"/>
      <c r="V34" s="112"/>
      <c r="W34" s="111"/>
      <c r="X34" s="40"/>
      <c r="Y34" s="40"/>
      <c r="Z34" s="40"/>
      <c r="AA34" s="40"/>
      <c r="AB34" s="40"/>
      <c r="AC34" s="40"/>
      <c r="AD34" s="40"/>
      <c r="AE34" s="40"/>
      <c r="AF34" s="40"/>
      <c r="AG34" s="37">
        <f t="shared" si="0"/>
        <v>4437</v>
      </c>
    </row>
    <row r="35" spans="1:33">
      <c r="A35" s="72"/>
      <c r="B35" s="116" t="s">
        <v>24</v>
      </c>
      <c r="C35" s="117">
        <f>SUM(C22:C34)</f>
        <v>4214</v>
      </c>
      <c r="D35" s="60">
        <f>SUM(D22:D34)</f>
        <v>3770</v>
      </c>
      <c r="E35" s="118">
        <f>SUM(E22:E34)</f>
        <v>4974</v>
      </c>
      <c r="F35" s="119">
        <f>SUM(F22:F34)</f>
        <v>5619</v>
      </c>
      <c r="G35" s="119">
        <f>SUM(G22:G34)</f>
        <v>6298</v>
      </c>
      <c r="H35" s="117">
        <f>SUM(H22:H34)</f>
        <v>6368</v>
      </c>
      <c r="I35" s="58">
        <f>SUM(I22:I34)</f>
        <v>6191</v>
      </c>
      <c r="J35" s="120">
        <f>SUM(J22:J34)</f>
        <v>6647</v>
      </c>
      <c r="K35" s="117">
        <f>SUM(K22:K34)</f>
        <v>6468</v>
      </c>
      <c r="L35" s="117">
        <f>SUM(L22:L34)</f>
        <v>6340</v>
      </c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60"/>
      <c r="X35" s="117"/>
      <c r="Y35" s="117"/>
      <c r="Z35" s="117"/>
      <c r="AA35" s="117"/>
      <c r="AB35" s="117"/>
      <c r="AC35" s="117"/>
      <c r="AD35" s="117"/>
      <c r="AE35" s="117"/>
      <c r="AF35" s="117"/>
      <c r="AG35" s="98">
        <f t="shared" si="0"/>
        <v>56889</v>
      </c>
    </row>
    <row r="36" spans="1:33">
      <c r="A36" s="19">
        <v>32</v>
      </c>
      <c r="B36" s="19" t="s">
        <v>38</v>
      </c>
      <c r="C36" s="19">
        <v>347</v>
      </c>
      <c r="D36" s="19">
        <v>331</v>
      </c>
      <c r="E36" s="19">
        <v>0</v>
      </c>
      <c r="F36" s="19">
        <v>483</v>
      </c>
      <c r="G36" s="19">
        <v>0</v>
      </c>
      <c r="H36" s="19">
        <v>455</v>
      </c>
      <c r="I36" s="19">
        <v>523</v>
      </c>
      <c r="J36" s="15">
        <v>499</v>
      </c>
      <c r="K36" s="19">
        <v>476</v>
      </c>
      <c r="L36" s="19">
        <v>464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37">
        <f t="shared" si="0"/>
        <v>3578</v>
      </c>
    </row>
    <row r="37" spans="1:33">
      <c r="A37" s="15">
        <v>33</v>
      </c>
      <c r="B37" s="15" t="s">
        <v>39</v>
      </c>
      <c r="C37" s="15" t="s">
        <v>40</v>
      </c>
      <c r="D37" s="15" t="s">
        <v>40</v>
      </c>
      <c r="E37" s="15" t="s">
        <v>58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37">
        <f t="shared" si="0"/>
        <v>0</v>
      </c>
    </row>
    <row r="38" spans="1:33">
      <c r="A38" s="15">
        <v>34</v>
      </c>
      <c r="B38" s="15" t="s">
        <v>41</v>
      </c>
      <c r="C38" s="15">
        <v>270</v>
      </c>
      <c r="D38" s="15">
        <v>295</v>
      </c>
      <c r="E38" s="15">
        <v>266</v>
      </c>
      <c r="F38" s="15">
        <v>409</v>
      </c>
      <c r="G38" s="15">
        <v>394</v>
      </c>
      <c r="H38" s="15">
        <v>306</v>
      </c>
      <c r="I38" s="15">
        <v>427</v>
      </c>
      <c r="J38" s="15">
        <v>406</v>
      </c>
      <c r="K38" s="15">
        <v>363</v>
      </c>
      <c r="L38" s="15">
        <v>410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37">
        <f t="shared" si="0"/>
        <v>3546</v>
      </c>
    </row>
    <row r="39" spans="1:33">
      <c r="A39" s="15">
        <v>35</v>
      </c>
      <c r="B39" s="15" t="s">
        <v>42</v>
      </c>
      <c r="C39" s="15">
        <v>273</v>
      </c>
      <c r="D39" s="15">
        <v>0</v>
      </c>
      <c r="E39" s="15">
        <v>286</v>
      </c>
      <c r="F39" s="15">
        <v>362</v>
      </c>
      <c r="G39" s="15">
        <v>405</v>
      </c>
      <c r="H39" s="15">
        <v>402</v>
      </c>
      <c r="I39" s="15">
        <v>415</v>
      </c>
      <c r="J39" s="15">
        <v>419</v>
      </c>
      <c r="K39" s="15">
        <v>423</v>
      </c>
      <c r="L39" s="15">
        <v>375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37">
        <f t="shared" si="0"/>
        <v>3360</v>
      </c>
    </row>
    <row r="40" spans="1:33">
      <c r="A40" s="69">
        <v>36</v>
      </c>
      <c r="B40" s="69" t="s">
        <v>43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37">
        <f t="shared" si="0"/>
        <v>0</v>
      </c>
    </row>
    <row r="41" spans="1:33">
      <c r="A41" s="3"/>
      <c r="B41" s="116" t="s">
        <v>24</v>
      </c>
      <c r="C41" s="117">
        <f>SUM(C36:C40)</f>
        <v>890</v>
      </c>
      <c r="D41" s="117">
        <f>SUM(D36:D38)</f>
        <v>626</v>
      </c>
      <c r="E41" s="117">
        <f>SUM(E38:E40)</f>
        <v>552</v>
      </c>
      <c r="F41" s="117">
        <f>SUM(F36:F40)</f>
        <v>1254</v>
      </c>
      <c r="G41" s="117">
        <f>SUM(G38:G40)</f>
        <v>799</v>
      </c>
      <c r="H41" s="117">
        <f>SUM(H36,H37,H38,H39,H40)</f>
        <v>1163</v>
      </c>
      <c r="I41" s="117">
        <f>SUM(I36,I37,I38,I39,I40)</f>
        <v>1365</v>
      </c>
      <c r="J41" s="117">
        <f>SUM(J36,J37,J38:J39)</f>
        <v>1324</v>
      </c>
      <c r="K41" s="117">
        <f>SUM(K36,K37,K38,K39,K40)</f>
        <v>1262</v>
      </c>
      <c r="L41" s="117">
        <f>SUM(L36,L37,L38,L39,L40)</f>
        <v>1249</v>
      </c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98">
        <f t="shared" si="0"/>
        <v>10484</v>
      </c>
    </row>
    <row r="42" spans="1:33">
      <c r="A42" s="8">
        <v>37</v>
      </c>
      <c r="B42" s="61" t="s">
        <v>44</v>
      </c>
      <c r="C42" s="15">
        <v>0</v>
      </c>
      <c r="D42" s="15">
        <v>0</v>
      </c>
      <c r="E42" s="15">
        <v>386</v>
      </c>
      <c r="F42" s="15">
        <v>589</v>
      </c>
      <c r="G42" s="15">
        <v>0</v>
      </c>
      <c r="H42" s="15">
        <v>584</v>
      </c>
      <c r="I42" s="15">
        <v>592</v>
      </c>
      <c r="J42" s="15">
        <v>570</v>
      </c>
      <c r="K42" s="15">
        <v>605</v>
      </c>
      <c r="L42" s="15">
        <v>625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37">
        <f t="shared" si="0"/>
        <v>3951</v>
      </c>
    </row>
    <row r="43" spans="1:33">
      <c r="A43" s="15">
        <v>38</v>
      </c>
      <c r="B43" s="65" t="s">
        <v>45</v>
      </c>
      <c r="C43" s="15">
        <v>0</v>
      </c>
      <c r="D43" s="15">
        <v>361</v>
      </c>
      <c r="E43" s="15">
        <v>360</v>
      </c>
      <c r="F43" s="15">
        <v>462</v>
      </c>
      <c r="G43" s="15">
        <v>0</v>
      </c>
      <c r="H43" s="15">
        <v>436</v>
      </c>
      <c r="I43" s="15">
        <v>442</v>
      </c>
      <c r="J43" s="15">
        <v>424</v>
      </c>
      <c r="K43" s="15">
        <v>488</v>
      </c>
      <c r="L43" s="15">
        <v>498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37">
        <f t="shared" si="0"/>
        <v>3471</v>
      </c>
    </row>
    <row r="44" spans="1:33">
      <c r="A44" s="72"/>
      <c r="B44" s="116" t="s">
        <v>24</v>
      </c>
      <c r="C44" s="117">
        <f>SUM(C42:C43)</f>
        <v>0</v>
      </c>
      <c r="D44" s="117">
        <f>SUM(D42:D43)</f>
        <v>361</v>
      </c>
      <c r="E44" s="118">
        <f>SUM(E42:E43)</f>
        <v>746</v>
      </c>
      <c r="F44" s="118">
        <f>SUM(F42:F43)</f>
        <v>1051</v>
      </c>
      <c r="G44" s="118">
        <f>SUM(G42:G43)</f>
        <v>0</v>
      </c>
      <c r="H44" s="117">
        <f>SUM(H42:H43)</f>
        <v>1020</v>
      </c>
      <c r="I44" s="117">
        <f>SUM(I42:I43)</f>
        <v>1034</v>
      </c>
      <c r="J44" s="117">
        <f>SUM(J42:J43)</f>
        <v>994</v>
      </c>
      <c r="K44" s="117">
        <f>SUM(K42:K43)</f>
        <v>1093</v>
      </c>
      <c r="L44" s="117">
        <f>SUM(L42:L43)</f>
        <v>1123</v>
      </c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8"/>
      <c r="Z44" s="118"/>
      <c r="AA44" s="118"/>
      <c r="AB44" s="118"/>
      <c r="AC44" s="118"/>
      <c r="AD44" s="118"/>
      <c r="AE44" s="118"/>
      <c r="AF44" s="118"/>
      <c r="AG44" s="98">
        <f t="shared" si="0"/>
        <v>7422</v>
      </c>
    </row>
    <row r="45" spans="1:33" s="124" customFormat="1">
      <c r="A45" s="121"/>
      <c r="B45" s="122" t="s">
        <v>46</v>
      </c>
      <c r="C45" s="120">
        <f>SUM(C44,C41,C35,C21)</f>
        <v>10684</v>
      </c>
      <c r="D45" s="120">
        <f>SUM(D44,D41,D35,D21)</f>
        <v>10803</v>
      </c>
      <c r="E45" s="76">
        <f>SUM(E44,E41,E35,E21)</f>
        <v>12626</v>
      </c>
      <c r="F45" s="123">
        <f>SUM(F44,F41,F35,F21)</f>
        <v>17594</v>
      </c>
      <c r="G45" s="123">
        <f>SUM(G44,G41,G35,G21)</f>
        <v>16270</v>
      </c>
      <c r="H45" s="120">
        <f>SUM(H44,H41,H35,H21)</f>
        <v>17347</v>
      </c>
      <c r="I45" s="121">
        <f>SUM(I44,I41,I35,I21)</f>
        <v>15819</v>
      </c>
      <c r="J45" s="120">
        <f>SUM(J44,J41,J35,J21)</f>
        <v>17490</v>
      </c>
      <c r="K45" s="120">
        <f>SUM(K44,K41,K35,K21)</f>
        <v>18098</v>
      </c>
      <c r="L45" s="120">
        <f>SUM(L44,L41,L35,L21)</f>
        <v>17339</v>
      </c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76"/>
      <c r="Z45" s="76"/>
      <c r="AA45" s="76"/>
      <c r="AB45" s="76"/>
      <c r="AC45" s="76"/>
      <c r="AD45" s="76"/>
      <c r="AE45" s="76"/>
      <c r="AF45" s="76"/>
      <c r="AG45" s="98">
        <f t="shared" si="0"/>
        <v>154070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DBDD-6362-4503-9D81-9786A08B01C0}">
  <dimension ref="A1:BJ1016"/>
  <sheetViews>
    <sheetView topLeftCell="AD1" workbookViewId="0">
      <pane xSplit="2" ySplit="4" topLeftCell="AY5" activePane="bottomRight" state="frozen"/>
      <selection pane="bottomRight" activeCell="AF3" sqref="AF3"/>
      <selection pane="bottomLeft"/>
      <selection pane="topRight"/>
    </sheetView>
  </sheetViews>
  <sheetFormatPr defaultColWidth="14.42578125" defaultRowHeight="15" customHeight="1"/>
  <cols>
    <col min="1" max="1" width="5.42578125" customWidth="1"/>
    <col min="2" max="2" width="35.7109375" customWidth="1"/>
    <col min="3" max="3" width="11.5703125" customWidth="1"/>
    <col min="4" max="6" width="11.7109375" bestFit="1" customWidth="1"/>
    <col min="7" max="7" width="11.5703125" customWidth="1"/>
    <col min="8" max="12" width="11.7109375" bestFit="1" customWidth="1"/>
    <col min="13" max="13" width="11.5703125" customWidth="1"/>
    <col min="14" max="15" width="11.7109375" bestFit="1" customWidth="1"/>
    <col min="16" max="26" width="11.5703125" customWidth="1"/>
    <col min="27" max="27" width="8.85546875" customWidth="1"/>
    <col min="28" max="28" width="9.140625"/>
    <col min="29" max="29" width="4.140625" bestFit="1" customWidth="1"/>
    <col min="30" max="30" width="4.140625" customWidth="1"/>
    <col min="31" max="31" width="27.140625" bestFit="1" customWidth="1"/>
    <col min="32" max="44" width="11.7109375" bestFit="1" customWidth="1"/>
    <col min="45" max="45" width="9.140625"/>
    <col min="46" max="61" width="11.7109375" bestFit="1" customWidth="1"/>
  </cols>
  <sheetData>
    <row r="1" spans="1:62" ht="15.75">
      <c r="A1" s="1"/>
      <c r="B1" s="2" t="s">
        <v>59</v>
      </c>
      <c r="AC1" s="1"/>
      <c r="AD1" s="3"/>
      <c r="AE1" s="82" t="s">
        <v>59</v>
      </c>
    </row>
    <row r="2" spans="1:62">
      <c r="A2" s="125"/>
      <c r="B2" s="126"/>
      <c r="C2" s="84" t="s">
        <v>1</v>
      </c>
      <c r="D2" s="84" t="s">
        <v>47</v>
      </c>
      <c r="E2" s="84" t="s">
        <v>48</v>
      </c>
      <c r="F2" s="84" t="s">
        <v>53</v>
      </c>
      <c r="G2" s="84" t="s">
        <v>51</v>
      </c>
      <c r="H2" s="84" t="s">
        <v>52</v>
      </c>
      <c r="I2" s="84" t="s">
        <v>1</v>
      </c>
      <c r="J2" s="84" t="s">
        <v>47</v>
      </c>
      <c r="K2" s="84" t="s">
        <v>48</v>
      </c>
      <c r="L2" s="84" t="s">
        <v>53</v>
      </c>
      <c r="M2" s="84" t="s">
        <v>51</v>
      </c>
      <c r="N2" s="84" t="s">
        <v>52</v>
      </c>
      <c r="O2" s="84" t="s">
        <v>1</v>
      </c>
      <c r="P2" s="84" t="s">
        <v>47</v>
      </c>
      <c r="Q2" s="84" t="s">
        <v>48</v>
      </c>
      <c r="R2" s="84" t="s">
        <v>53</v>
      </c>
      <c r="S2" s="84" t="s">
        <v>51</v>
      </c>
      <c r="T2" s="84" t="s">
        <v>52</v>
      </c>
      <c r="U2" s="84" t="s">
        <v>1</v>
      </c>
      <c r="V2" s="84" t="s">
        <v>47</v>
      </c>
      <c r="W2" s="84" t="s">
        <v>48</v>
      </c>
      <c r="X2" s="84" t="s">
        <v>53</v>
      </c>
      <c r="Y2" s="84" t="s">
        <v>51</v>
      </c>
      <c r="Z2" s="84" t="s">
        <v>52</v>
      </c>
      <c r="AA2" s="85" t="s">
        <v>55</v>
      </c>
      <c r="AC2" s="57"/>
      <c r="AD2" s="3"/>
      <c r="AE2" s="83"/>
      <c r="AF2" s="84" t="s">
        <v>1</v>
      </c>
      <c r="AG2" s="84" t="s">
        <v>47</v>
      </c>
      <c r="AH2" s="84" t="s">
        <v>48</v>
      </c>
      <c r="AI2" s="84" t="s">
        <v>53</v>
      </c>
      <c r="AJ2" s="84" t="s">
        <v>51</v>
      </c>
      <c r="AK2" s="84" t="s">
        <v>52</v>
      </c>
      <c r="AL2" s="84" t="s">
        <v>1</v>
      </c>
      <c r="AM2" s="84" t="s">
        <v>47</v>
      </c>
      <c r="AN2" s="84" t="s">
        <v>48</v>
      </c>
      <c r="AO2" s="84" t="s">
        <v>53</v>
      </c>
      <c r="AP2" s="84" t="s">
        <v>51</v>
      </c>
      <c r="AQ2" s="84" t="s">
        <v>52</v>
      </c>
      <c r="AR2" s="84" t="s">
        <v>1</v>
      </c>
      <c r="AS2" s="84" t="s">
        <v>47</v>
      </c>
      <c r="AT2" s="84" t="s">
        <v>48</v>
      </c>
      <c r="AU2" s="84" t="s">
        <v>53</v>
      </c>
      <c r="AV2" s="84" t="s">
        <v>51</v>
      </c>
      <c r="AW2" s="84" t="s">
        <v>52</v>
      </c>
      <c r="AX2" s="84" t="s">
        <v>1</v>
      </c>
      <c r="AY2" s="84" t="s">
        <v>47</v>
      </c>
      <c r="AZ2" s="84" t="s">
        <v>48</v>
      </c>
      <c r="BA2" s="84" t="s">
        <v>53</v>
      </c>
      <c r="BB2" s="84" t="s">
        <v>51</v>
      </c>
      <c r="BC2" s="84" t="s">
        <v>52</v>
      </c>
      <c r="BD2" s="84" t="s">
        <v>1</v>
      </c>
      <c r="BE2" s="84" t="s">
        <v>47</v>
      </c>
      <c r="BF2" s="84" t="s">
        <v>48</v>
      </c>
      <c r="BG2" s="84" t="s">
        <v>53</v>
      </c>
      <c r="BH2" s="84" t="s">
        <v>51</v>
      </c>
      <c r="BI2" s="84" t="s">
        <v>52</v>
      </c>
      <c r="BJ2" s="85" t="s">
        <v>55</v>
      </c>
    </row>
    <row r="3" spans="1:62" ht="19.5" customHeight="1">
      <c r="A3" s="26" t="s">
        <v>2</v>
      </c>
      <c r="B3" s="83" t="s">
        <v>3</v>
      </c>
      <c r="C3" s="86">
        <v>46109</v>
      </c>
      <c r="D3" s="86">
        <v>46111</v>
      </c>
      <c r="E3" s="127">
        <v>46112</v>
      </c>
      <c r="F3" s="128">
        <v>46113</v>
      </c>
      <c r="G3" s="86">
        <v>46114</v>
      </c>
      <c r="H3" s="86">
        <v>46115</v>
      </c>
      <c r="I3" s="86">
        <v>46116</v>
      </c>
      <c r="J3" s="86">
        <v>46118</v>
      </c>
      <c r="K3" s="86">
        <v>46119</v>
      </c>
      <c r="L3" s="86">
        <v>46120</v>
      </c>
      <c r="M3" s="127">
        <v>46121</v>
      </c>
      <c r="N3" s="128">
        <v>46122</v>
      </c>
      <c r="O3" s="127">
        <v>46123</v>
      </c>
      <c r="P3" s="128">
        <v>46125</v>
      </c>
      <c r="Q3" s="127">
        <v>46126</v>
      </c>
      <c r="R3" s="128">
        <v>46127</v>
      </c>
      <c r="S3" s="127">
        <v>46128</v>
      </c>
      <c r="T3" s="128">
        <v>46129</v>
      </c>
      <c r="U3" s="127">
        <v>46130</v>
      </c>
      <c r="V3" s="128">
        <v>46132</v>
      </c>
      <c r="W3" s="127">
        <v>46133</v>
      </c>
      <c r="X3" s="128">
        <v>46134</v>
      </c>
      <c r="Y3" s="127">
        <v>46135</v>
      </c>
      <c r="Z3" s="128">
        <v>46136</v>
      </c>
      <c r="AA3" s="87" t="s">
        <v>56</v>
      </c>
      <c r="AC3" s="92" t="s">
        <v>2</v>
      </c>
      <c r="AD3" s="26"/>
      <c r="AE3" s="83" t="s">
        <v>3</v>
      </c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7" t="s">
        <v>56</v>
      </c>
    </row>
    <row r="4" spans="1:62" ht="19.5" customHeight="1">
      <c r="A4" s="92"/>
      <c r="B4" s="72"/>
      <c r="C4" s="89" t="s">
        <v>60</v>
      </c>
      <c r="D4" s="89" t="s">
        <v>60</v>
      </c>
      <c r="E4" s="89" t="s">
        <v>60</v>
      </c>
      <c r="F4" s="89" t="s">
        <v>60</v>
      </c>
      <c r="G4" s="89" t="s">
        <v>60</v>
      </c>
      <c r="H4" s="89" t="s">
        <v>60</v>
      </c>
      <c r="I4" s="89" t="s">
        <v>60</v>
      </c>
      <c r="J4" s="89" t="s">
        <v>60</v>
      </c>
      <c r="K4" s="89" t="s">
        <v>60</v>
      </c>
      <c r="L4" s="89" t="s">
        <v>60</v>
      </c>
      <c r="M4" s="89" t="s">
        <v>60</v>
      </c>
      <c r="N4" s="89" t="s">
        <v>60</v>
      </c>
      <c r="O4" s="89" t="s">
        <v>60</v>
      </c>
      <c r="P4" s="89" t="s">
        <v>60</v>
      </c>
      <c r="Q4" s="89" t="s">
        <v>60</v>
      </c>
      <c r="R4" s="89" t="s">
        <v>60</v>
      </c>
      <c r="S4" s="89" t="s">
        <v>60</v>
      </c>
      <c r="T4" s="89" t="s">
        <v>60</v>
      </c>
      <c r="U4" s="89" t="s">
        <v>60</v>
      </c>
      <c r="V4" s="89" t="s">
        <v>60</v>
      </c>
      <c r="W4" s="89" t="s">
        <v>60</v>
      </c>
      <c r="X4" s="89" t="s">
        <v>60</v>
      </c>
      <c r="Y4" s="89" t="s">
        <v>60</v>
      </c>
      <c r="Z4" s="89" t="s">
        <v>60</v>
      </c>
      <c r="AA4" s="90"/>
      <c r="AC4" s="92"/>
      <c r="AD4" s="71"/>
      <c r="AE4" s="88"/>
      <c r="AF4" s="89" t="s">
        <v>57</v>
      </c>
      <c r="AG4" s="89" t="s">
        <v>57</v>
      </c>
      <c r="AH4" s="89" t="s">
        <v>57</v>
      </c>
      <c r="AI4" s="89" t="s">
        <v>57</v>
      </c>
      <c r="AJ4" s="89" t="s">
        <v>57</v>
      </c>
      <c r="AK4" s="89" t="s">
        <v>57</v>
      </c>
      <c r="AL4" s="89" t="s">
        <v>57</v>
      </c>
      <c r="AM4" s="89" t="s">
        <v>57</v>
      </c>
      <c r="AN4" s="89" t="s">
        <v>57</v>
      </c>
      <c r="AO4" s="89" t="s">
        <v>57</v>
      </c>
      <c r="AP4" s="89" t="s">
        <v>57</v>
      </c>
      <c r="AQ4" s="89" t="s">
        <v>57</v>
      </c>
      <c r="AR4" s="89" t="s">
        <v>57</v>
      </c>
      <c r="AS4" s="89" t="s">
        <v>57</v>
      </c>
      <c r="AT4" s="89" t="s">
        <v>57</v>
      </c>
      <c r="AU4" s="89" t="s">
        <v>57</v>
      </c>
      <c r="AV4" s="89" t="s">
        <v>57</v>
      </c>
      <c r="AW4" s="89" t="s">
        <v>57</v>
      </c>
      <c r="AX4" s="89" t="s">
        <v>57</v>
      </c>
      <c r="AY4" s="89" t="s">
        <v>57</v>
      </c>
      <c r="AZ4" s="89" t="s">
        <v>57</v>
      </c>
      <c r="BA4" s="89" t="s">
        <v>57</v>
      </c>
      <c r="BB4" s="89" t="s">
        <v>57</v>
      </c>
      <c r="BC4" s="89" t="s">
        <v>57</v>
      </c>
      <c r="BD4" s="89" t="s">
        <v>57</v>
      </c>
      <c r="BE4" s="89" t="s">
        <v>57</v>
      </c>
      <c r="BF4" s="89" t="s">
        <v>57</v>
      </c>
      <c r="BG4" s="89" t="s">
        <v>57</v>
      </c>
      <c r="BH4" s="89" t="s">
        <v>57</v>
      </c>
      <c r="BI4" s="89" t="s">
        <v>57</v>
      </c>
      <c r="BJ4" s="90"/>
    </row>
    <row r="5" spans="1:62">
      <c r="A5" s="8">
        <v>1</v>
      </c>
      <c r="B5" s="61" t="s">
        <v>8</v>
      </c>
      <c r="C5" s="26">
        <v>666</v>
      </c>
      <c r="D5" s="26">
        <v>758</v>
      </c>
      <c r="E5" s="26">
        <v>722</v>
      </c>
      <c r="F5" s="26" t="s">
        <v>61</v>
      </c>
      <c r="G5" s="26" t="s">
        <v>61</v>
      </c>
      <c r="H5" s="26" t="s">
        <v>62</v>
      </c>
      <c r="I5" s="26" t="s">
        <v>63</v>
      </c>
      <c r="J5" s="26" t="s">
        <v>62</v>
      </c>
      <c r="K5" s="26" t="s">
        <v>61</v>
      </c>
      <c r="L5" s="26"/>
      <c r="M5" s="26"/>
      <c r="N5" s="26"/>
      <c r="O5" s="26"/>
      <c r="P5" s="26"/>
      <c r="Q5" s="26"/>
      <c r="R5" s="26"/>
      <c r="S5" s="26"/>
      <c r="T5" s="92"/>
      <c r="U5" s="26"/>
      <c r="V5" s="115"/>
      <c r="W5" s="26"/>
      <c r="X5" s="26"/>
      <c r="Y5" s="26"/>
      <c r="Z5" s="26"/>
      <c r="AA5" s="37">
        <f>SUM(C5:Z5)</f>
        <v>2146</v>
      </c>
      <c r="AC5" s="45">
        <v>1</v>
      </c>
      <c r="AD5" s="19">
        <v>1</v>
      </c>
      <c r="AE5" s="61" t="s">
        <v>8</v>
      </c>
      <c r="AF5" s="26"/>
      <c r="AG5" s="26"/>
      <c r="AH5" s="26"/>
      <c r="AI5" s="10"/>
      <c r="AJ5" s="91"/>
      <c r="AK5" s="10"/>
      <c r="AL5" s="10"/>
      <c r="AM5" s="10"/>
      <c r="AN5" s="26"/>
      <c r="AO5" s="26"/>
      <c r="AP5" s="26"/>
      <c r="AQ5" s="26"/>
      <c r="AR5" s="26"/>
      <c r="AS5" s="26"/>
      <c r="AT5" s="26"/>
      <c r="AU5" s="26"/>
      <c r="AV5" s="26"/>
      <c r="AW5" s="92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37">
        <f>SUM(AF5:BB5)</f>
        <v>0</v>
      </c>
    </row>
    <row r="6" spans="1:62">
      <c r="A6" s="15">
        <v>2</v>
      </c>
      <c r="B6" s="65" t="s">
        <v>9</v>
      </c>
      <c r="C6" s="15">
        <v>651</v>
      </c>
      <c r="D6" s="15">
        <v>604</v>
      </c>
      <c r="E6" s="17">
        <v>575</v>
      </c>
      <c r="F6" s="17" t="s">
        <v>61</v>
      </c>
      <c r="G6" s="17" t="s">
        <v>61</v>
      </c>
      <c r="H6" s="15" t="s">
        <v>62</v>
      </c>
      <c r="I6" s="15" t="s">
        <v>63</v>
      </c>
      <c r="J6" s="15" t="s">
        <v>62</v>
      </c>
      <c r="K6" s="15">
        <v>649</v>
      </c>
      <c r="L6" s="15"/>
      <c r="M6" s="15"/>
      <c r="N6" s="15"/>
      <c r="O6" s="15"/>
      <c r="P6" s="15"/>
      <c r="Q6" s="15"/>
      <c r="R6" s="15"/>
      <c r="S6" s="15"/>
      <c r="T6" s="17"/>
      <c r="U6" s="69"/>
      <c r="V6" s="103"/>
      <c r="W6" s="15"/>
      <c r="X6" s="15"/>
      <c r="Y6" s="15"/>
      <c r="Z6" s="15"/>
      <c r="AA6" s="37">
        <f t="shared" ref="AA6:AA21" si="0">SUM(C6:Z6)</f>
        <v>2479</v>
      </c>
      <c r="AC6" s="17">
        <v>2</v>
      </c>
      <c r="AD6" s="15">
        <v>2</v>
      </c>
      <c r="AE6" s="65" t="s">
        <v>9</v>
      </c>
      <c r="AF6" s="15"/>
      <c r="AG6" s="15"/>
      <c r="AH6" s="17"/>
      <c r="AI6" s="17"/>
      <c r="AJ6" s="93"/>
      <c r="AK6" s="17"/>
      <c r="AL6" s="17"/>
      <c r="AM6" s="17"/>
      <c r="AN6" s="15"/>
      <c r="AO6" s="15"/>
      <c r="AP6" s="15"/>
      <c r="AQ6" s="15"/>
      <c r="AR6" s="15"/>
      <c r="AS6" s="15"/>
      <c r="AT6" s="15"/>
      <c r="AU6" s="15"/>
      <c r="AV6" s="15"/>
      <c r="AW6" s="17"/>
      <c r="AX6" s="69"/>
      <c r="AY6" s="15"/>
      <c r="AZ6" s="17"/>
      <c r="BA6" s="17"/>
      <c r="BB6" s="15"/>
      <c r="BC6" s="15"/>
      <c r="BD6" s="15"/>
      <c r="BE6" s="15"/>
      <c r="BF6" s="15"/>
      <c r="BG6" s="15"/>
      <c r="BH6" s="15"/>
      <c r="BI6" s="15"/>
      <c r="BJ6" s="37">
        <f t="shared" ref="BJ6:BJ21" si="1">SUM(AF6:BB6)</f>
        <v>0</v>
      </c>
    </row>
    <row r="7" spans="1:62">
      <c r="A7" s="15">
        <v>3</v>
      </c>
      <c r="B7" s="65" t="s">
        <v>10</v>
      </c>
      <c r="C7" s="15">
        <v>735</v>
      </c>
      <c r="D7" s="15">
        <v>664</v>
      </c>
      <c r="E7" s="17">
        <v>582</v>
      </c>
      <c r="F7" s="20" t="s">
        <v>61</v>
      </c>
      <c r="G7" s="20" t="s">
        <v>64</v>
      </c>
      <c r="H7" s="15" t="s">
        <v>62</v>
      </c>
      <c r="I7" s="15" t="s">
        <v>63</v>
      </c>
      <c r="J7" s="15" t="s">
        <v>62</v>
      </c>
      <c r="K7" s="15" t="s">
        <v>64</v>
      </c>
      <c r="L7" s="15"/>
      <c r="M7" s="15"/>
      <c r="N7" s="15"/>
      <c r="O7" s="15"/>
      <c r="P7" s="15"/>
      <c r="Q7" s="15"/>
      <c r="R7" s="15"/>
      <c r="S7" s="15"/>
      <c r="T7" s="17"/>
      <c r="U7" s="15"/>
      <c r="V7" s="103"/>
      <c r="W7" s="15"/>
      <c r="X7" s="15"/>
      <c r="Y7" s="15"/>
      <c r="Z7" s="15"/>
      <c r="AA7" s="37">
        <f t="shared" si="0"/>
        <v>1981</v>
      </c>
      <c r="AC7" s="17">
        <v>3</v>
      </c>
      <c r="AD7" s="15">
        <v>3</v>
      </c>
      <c r="AE7" s="65" t="s">
        <v>10</v>
      </c>
      <c r="AF7" s="15"/>
      <c r="AG7" s="15"/>
      <c r="AH7" s="17"/>
      <c r="AI7" s="20"/>
      <c r="AJ7" s="94"/>
      <c r="AK7" s="20"/>
      <c r="AL7" s="20"/>
      <c r="AM7" s="20"/>
      <c r="AN7" s="15"/>
      <c r="AO7" s="15"/>
      <c r="AP7" s="15"/>
      <c r="AQ7" s="15"/>
      <c r="AR7" s="15"/>
      <c r="AS7" s="15"/>
      <c r="AT7" s="15"/>
      <c r="AU7" s="15"/>
      <c r="AV7" s="15"/>
      <c r="AW7" s="17"/>
      <c r="AX7" s="15"/>
      <c r="AY7" s="15"/>
      <c r="AZ7" s="17"/>
      <c r="BA7" s="17"/>
      <c r="BB7" s="15"/>
      <c r="BC7" s="15"/>
      <c r="BD7" s="15"/>
      <c r="BE7" s="15"/>
      <c r="BF7" s="15"/>
      <c r="BG7" s="15"/>
      <c r="BH7" s="15"/>
      <c r="BI7" s="15"/>
      <c r="BJ7" s="37">
        <f t="shared" si="1"/>
        <v>0</v>
      </c>
    </row>
    <row r="8" spans="1:62">
      <c r="A8" s="15">
        <v>4</v>
      </c>
      <c r="B8" s="65" t="s">
        <v>11</v>
      </c>
      <c r="C8" s="15">
        <v>521</v>
      </c>
      <c r="D8" s="15">
        <v>542</v>
      </c>
      <c r="E8" s="17">
        <v>513</v>
      </c>
      <c r="F8" s="17" t="s">
        <v>61</v>
      </c>
      <c r="G8" s="17" t="s">
        <v>61</v>
      </c>
      <c r="H8" s="15" t="s">
        <v>62</v>
      </c>
      <c r="I8" s="15" t="s">
        <v>63</v>
      </c>
      <c r="J8" s="15" t="s">
        <v>62</v>
      </c>
      <c r="K8" s="15" t="s">
        <v>61</v>
      </c>
      <c r="L8" s="15"/>
      <c r="M8" s="15"/>
      <c r="N8" s="15"/>
      <c r="O8" s="15"/>
      <c r="P8" s="15"/>
      <c r="Q8" s="15"/>
      <c r="R8" s="15"/>
      <c r="S8" s="15"/>
      <c r="T8" s="17"/>
      <c r="U8" s="19"/>
      <c r="V8" s="103"/>
      <c r="W8" s="15"/>
      <c r="X8" s="15"/>
      <c r="Y8" s="15"/>
      <c r="Z8" s="15"/>
      <c r="AA8" s="37">
        <f t="shared" si="0"/>
        <v>1576</v>
      </c>
      <c r="AC8" s="17">
        <v>4</v>
      </c>
      <c r="AD8" s="15">
        <v>4</v>
      </c>
      <c r="AE8" s="65" t="s">
        <v>11</v>
      </c>
      <c r="AF8" s="15"/>
      <c r="AG8" s="15"/>
      <c r="AH8" s="17"/>
      <c r="AI8" s="17"/>
      <c r="AJ8" s="93"/>
      <c r="AK8" s="17"/>
      <c r="AL8" s="17"/>
      <c r="AM8" s="17"/>
      <c r="AN8" s="15"/>
      <c r="AO8" s="15"/>
      <c r="AP8" s="15"/>
      <c r="AQ8" s="15"/>
      <c r="AR8" s="15"/>
      <c r="AS8" s="15"/>
      <c r="AT8" s="15"/>
      <c r="AU8" s="15"/>
      <c r="AV8" s="15"/>
      <c r="AW8" s="17"/>
      <c r="AX8" s="19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37">
        <f t="shared" si="1"/>
        <v>0</v>
      </c>
    </row>
    <row r="9" spans="1:62">
      <c r="A9" s="15">
        <v>5</v>
      </c>
      <c r="B9" s="65" t="s">
        <v>12</v>
      </c>
      <c r="C9" s="15">
        <v>565</v>
      </c>
      <c r="D9" s="15">
        <v>514</v>
      </c>
      <c r="E9" s="17">
        <v>390</v>
      </c>
      <c r="F9" s="20" t="s">
        <v>61</v>
      </c>
      <c r="G9" s="20" t="s">
        <v>64</v>
      </c>
      <c r="H9" s="15" t="s">
        <v>62</v>
      </c>
      <c r="I9" s="15" t="s">
        <v>63</v>
      </c>
      <c r="J9" s="15" t="s">
        <v>62</v>
      </c>
      <c r="K9" s="15" t="s">
        <v>64</v>
      </c>
      <c r="L9" s="15"/>
      <c r="M9" s="15"/>
      <c r="N9" s="15"/>
      <c r="O9" s="15"/>
      <c r="P9" s="15"/>
      <c r="Q9" s="15"/>
      <c r="R9" s="15"/>
      <c r="S9" s="15"/>
      <c r="T9" s="17"/>
      <c r="U9" s="15"/>
      <c r="V9" s="103"/>
      <c r="W9" s="15"/>
      <c r="X9" s="15"/>
      <c r="Y9" s="15"/>
      <c r="Z9" s="15"/>
      <c r="AA9" s="37">
        <f t="shared" si="0"/>
        <v>1469</v>
      </c>
      <c r="AC9" s="17">
        <v>5</v>
      </c>
      <c r="AD9" s="15">
        <v>5</v>
      </c>
      <c r="AE9" s="65" t="s">
        <v>12</v>
      </c>
      <c r="AF9" s="15"/>
      <c r="AG9" s="15"/>
      <c r="AH9" s="17"/>
      <c r="AI9" s="20"/>
      <c r="AJ9" s="94"/>
      <c r="AK9" s="20"/>
      <c r="AL9" s="20"/>
      <c r="AM9" s="20"/>
      <c r="AN9" s="15"/>
      <c r="AO9" s="15"/>
      <c r="AP9" s="15"/>
      <c r="AQ9" s="15"/>
      <c r="AR9" s="15"/>
      <c r="AS9" s="15"/>
      <c r="AT9" s="15"/>
      <c r="AU9" s="15"/>
      <c r="AV9" s="15"/>
      <c r="AW9" s="17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37">
        <f t="shared" si="1"/>
        <v>0</v>
      </c>
    </row>
    <row r="10" spans="1:62">
      <c r="A10" s="15">
        <v>6</v>
      </c>
      <c r="B10" s="65" t="s">
        <v>13</v>
      </c>
      <c r="C10" s="15">
        <v>664</v>
      </c>
      <c r="D10" s="15">
        <v>481</v>
      </c>
      <c r="E10" s="17">
        <v>354</v>
      </c>
      <c r="F10" s="17" t="s">
        <v>61</v>
      </c>
      <c r="G10" s="17" t="s">
        <v>61</v>
      </c>
      <c r="H10" s="15" t="s">
        <v>62</v>
      </c>
      <c r="I10" s="15" t="s">
        <v>63</v>
      </c>
      <c r="J10" s="15" t="s">
        <v>62</v>
      </c>
      <c r="K10" s="15" t="s">
        <v>61</v>
      </c>
      <c r="L10" s="15"/>
      <c r="M10" s="15"/>
      <c r="N10" s="15"/>
      <c r="O10" s="15"/>
      <c r="P10" s="15"/>
      <c r="Q10" s="15"/>
      <c r="R10" s="15"/>
      <c r="S10" s="15"/>
      <c r="T10" s="17"/>
      <c r="U10" s="15"/>
      <c r="V10" s="103"/>
      <c r="W10" s="15"/>
      <c r="X10" s="15"/>
      <c r="Y10" s="15"/>
      <c r="Z10" s="15"/>
      <c r="AA10" s="37">
        <f t="shared" si="0"/>
        <v>1499</v>
      </c>
      <c r="AC10" s="17">
        <v>6</v>
      </c>
      <c r="AD10" s="15">
        <v>6</v>
      </c>
      <c r="AE10" s="65" t="s">
        <v>13</v>
      </c>
      <c r="AF10" s="15"/>
      <c r="AG10" s="15"/>
      <c r="AH10" s="17"/>
      <c r="AI10" s="17"/>
      <c r="AJ10" s="93"/>
      <c r="AK10" s="17"/>
      <c r="AL10" s="17"/>
      <c r="AM10" s="17"/>
      <c r="AN10" s="15"/>
      <c r="AO10" s="15"/>
      <c r="AP10" s="15"/>
      <c r="AQ10" s="15"/>
      <c r="AR10" s="15"/>
      <c r="AS10" s="15"/>
      <c r="AT10" s="15"/>
      <c r="AU10" s="15"/>
      <c r="AV10" s="15"/>
      <c r="AW10" s="17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37">
        <f t="shared" si="1"/>
        <v>0</v>
      </c>
    </row>
    <row r="11" spans="1:62">
      <c r="A11" s="15">
        <v>7</v>
      </c>
      <c r="B11" s="65" t="s">
        <v>14</v>
      </c>
      <c r="C11" s="15">
        <v>0</v>
      </c>
      <c r="D11" s="15">
        <v>269</v>
      </c>
      <c r="E11" s="17">
        <v>222</v>
      </c>
      <c r="F11" s="20" t="s">
        <v>61</v>
      </c>
      <c r="G11" s="20" t="s">
        <v>61</v>
      </c>
      <c r="H11" s="15" t="s">
        <v>62</v>
      </c>
      <c r="I11" s="15" t="s">
        <v>63</v>
      </c>
      <c r="J11" s="15" t="s">
        <v>62</v>
      </c>
      <c r="K11" s="15" t="s">
        <v>64</v>
      </c>
      <c r="L11" s="15"/>
      <c r="M11" s="15"/>
      <c r="N11" s="15"/>
      <c r="O11" s="15"/>
      <c r="P11" s="15"/>
      <c r="Q11" s="15"/>
      <c r="R11" s="15"/>
      <c r="S11" s="15"/>
      <c r="T11" s="17"/>
      <c r="U11" s="15"/>
      <c r="V11" s="103"/>
      <c r="W11" s="15"/>
      <c r="X11" s="15"/>
      <c r="Y11" s="15"/>
      <c r="Z11" s="15"/>
      <c r="AA11" s="37">
        <f t="shared" si="0"/>
        <v>491</v>
      </c>
      <c r="AC11" s="17">
        <v>7</v>
      </c>
      <c r="AD11" s="15">
        <v>7</v>
      </c>
      <c r="AE11" s="65" t="s">
        <v>14</v>
      </c>
      <c r="AF11" s="15"/>
      <c r="AG11" s="15"/>
      <c r="AH11" s="17"/>
      <c r="AI11" s="20"/>
      <c r="AJ11" s="94"/>
      <c r="AK11" s="20"/>
      <c r="AL11" s="20"/>
      <c r="AM11" s="20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37">
        <f t="shared" si="1"/>
        <v>0</v>
      </c>
    </row>
    <row r="12" spans="1:62">
      <c r="A12" s="15">
        <v>8</v>
      </c>
      <c r="B12" s="65" t="s">
        <v>15</v>
      </c>
      <c r="C12" s="15">
        <v>528</v>
      </c>
      <c r="D12" s="15">
        <v>463</v>
      </c>
      <c r="E12" s="17">
        <v>459</v>
      </c>
      <c r="F12" s="17" t="s">
        <v>61</v>
      </c>
      <c r="G12" s="17" t="s">
        <v>61</v>
      </c>
      <c r="H12" s="15" t="s">
        <v>62</v>
      </c>
      <c r="I12" s="15" t="s">
        <v>63</v>
      </c>
      <c r="J12" s="15" t="s">
        <v>62</v>
      </c>
      <c r="K12" s="15">
        <v>436</v>
      </c>
      <c r="L12" s="15"/>
      <c r="M12" s="15"/>
      <c r="N12" s="15"/>
      <c r="O12" s="15"/>
      <c r="P12" s="15"/>
      <c r="Q12" s="15"/>
      <c r="R12" s="15"/>
      <c r="S12" s="15"/>
      <c r="T12" s="17"/>
      <c r="U12" s="15"/>
      <c r="V12" s="103"/>
      <c r="W12" s="15"/>
      <c r="X12" s="15"/>
      <c r="Y12" s="15"/>
      <c r="Z12" s="15"/>
      <c r="AA12" s="37">
        <f t="shared" si="0"/>
        <v>1886</v>
      </c>
      <c r="AC12" s="17">
        <v>8</v>
      </c>
      <c r="AD12" s="15">
        <v>8</v>
      </c>
      <c r="AE12" s="65" t="s">
        <v>15</v>
      </c>
      <c r="AF12" s="15"/>
      <c r="AG12" s="15"/>
      <c r="AH12" s="17"/>
      <c r="AI12" s="17"/>
      <c r="AJ12" s="93"/>
      <c r="AK12" s="17"/>
      <c r="AL12" s="17"/>
      <c r="AM12" s="17"/>
      <c r="AN12" s="15"/>
      <c r="AO12" s="15"/>
      <c r="AP12" s="15"/>
      <c r="AQ12" s="15"/>
      <c r="AR12" s="15"/>
      <c r="AS12" s="15"/>
      <c r="AT12" s="15"/>
      <c r="AU12" s="15"/>
      <c r="AV12" s="15"/>
      <c r="AW12" s="17"/>
      <c r="AX12" s="15"/>
      <c r="AY12" s="15"/>
      <c r="AZ12" s="17"/>
      <c r="BA12" s="17"/>
      <c r="BB12" s="15"/>
      <c r="BC12" s="15"/>
      <c r="BD12" s="15"/>
      <c r="BE12" s="15"/>
      <c r="BF12" s="15"/>
      <c r="BG12" s="15"/>
      <c r="BH12" s="15"/>
      <c r="BI12" s="15"/>
      <c r="BJ12" s="37">
        <f t="shared" si="1"/>
        <v>0</v>
      </c>
    </row>
    <row r="13" spans="1:62">
      <c r="A13" s="15">
        <v>9</v>
      </c>
      <c r="B13" s="65" t="s">
        <v>16</v>
      </c>
      <c r="C13" s="15">
        <v>395</v>
      </c>
      <c r="D13" s="15">
        <v>408</v>
      </c>
      <c r="E13" s="17">
        <v>336</v>
      </c>
      <c r="F13" s="20" t="s">
        <v>61</v>
      </c>
      <c r="G13" s="20" t="s">
        <v>61</v>
      </c>
      <c r="H13" s="15" t="s">
        <v>62</v>
      </c>
      <c r="I13" s="15" t="s">
        <v>63</v>
      </c>
      <c r="J13" s="15" t="s">
        <v>62</v>
      </c>
      <c r="K13" s="15" t="s">
        <v>61</v>
      </c>
      <c r="L13" s="15"/>
      <c r="M13" s="15"/>
      <c r="N13" s="15"/>
      <c r="O13" s="15"/>
      <c r="P13" s="15"/>
      <c r="Q13" s="15"/>
      <c r="R13" s="15"/>
      <c r="S13" s="15"/>
      <c r="T13" s="17"/>
      <c r="U13" s="15"/>
      <c r="V13" s="103"/>
      <c r="W13" s="15"/>
      <c r="X13" s="15"/>
      <c r="Y13" s="15"/>
      <c r="Z13" s="15"/>
      <c r="AA13" s="37">
        <f t="shared" si="0"/>
        <v>1139</v>
      </c>
      <c r="AC13" s="17">
        <v>9</v>
      </c>
      <c r="AD13" s="15">
        <v>9</v>
      </c>
      <c r="AE13" s="65" t="s">
        <v>16</v>
      </c>
      <c r="AF13" s="15"/>
      <c r="AG13" s="15"/>
      <c r="AH13" s="17"/>
      <c r="AI13" s="20"/>
      <c r="AJ13" s="94"/>
      <c r="AK13" s="20"/>
      <c r="AL13" s="20"/>
      <c r="AM13" s="20"/>
      <c r="AN13" s="15"/>
      <c r="AO13" s="15"/>
      <c r="AP13" s="15"/>
      <c r="AQ13" s="15"/>
      <c r="AR13" s="15"/>
      <c r="AS13" s="15"/>
      <c r="AT13" s="15"/>
      <c r="AU13" s="15"/>
      <c r="AV13" s="15"/>
      <c r="AW13" s="17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37">
        <f t="shared" si="1"/>
        <v>0</v>
      </c>
    </row>
    <row r="14" spans="1:62">
      <c r="A14" s="15">
        <v>10</v>
      </c>
      <c r="B14" s="65" t="s">
        <v>17</v>
      </c>
      <c r="C14" s="15">
        <v>335</v>
      </c>
      <c r="D14" s="15">
        <v>453</v>
      </c>
      <c r="E14" s="17">
        <v>482</v>
      </c>
      <c r="F14" s="17" t="s">
        <v>61</v>
      </c>
      <c r="G14" s="17" t="s">
        <v>61</v>
      </c>
      <c r="H14" s="15" t="s">
        <v>62</v>
      </c>
      <c r="I14" s="15" t="s">
        <v>63</v>
      </c>
      <c r="J14" s="15" t="s">
        <v>62</v>
      </c>
      <c r="K14" s="15" t="s">
        <v>61</v>
      </c>
      <c r="L14" s="15"/>
      <c r="M14" s="15"/>
      <c r="N14" s="15"/>
      <c r="O14" s="15"/>
      <c r="P14" s="15"/>
      <c r="Q14" s="15"/>
      <c r="R14" s="15"/>
      <c r="S14" s="15"/>
      <c r="T14" s="17"/>
      <c r="U14" s="15"/>
      <c r="V14" s="103"/>
      <c r="W14" s="15"/>
      <c r="X14" s="15"/>
      <c r="Y14" s="15"/>
      <c r="Z14" s="15"/>
      <c r="AA14" s="37">
        <f t="shared" si="0"/>
        <v>1270</v>
      </c>
      <c r="AC14" s="17">
        <v>10</v>
      </c>
      <c r="AD14" s="15">
        <v>10</v>
      </c>
      <c r="AE14" s="65" t="s">
        <v>17</v>
      </c>
      <c r="AF14" s="15"/>
      <c r="AG14" s="15"/>
      <c r="AH14" s="17"/>
      <c r="AI14" s="17"/>
      <c r="AJ14" s="93"/>
      <c r="AK14" s="17"/>
      <c r="AL14" s="17"/>
      <c r="AM14" s="17"/>
      <c r="AN14" s="15"/>
      <c r="AO14" s="15"/>
      <c r="AP14" s="15"/>
      <c r="AQ14" s="15"/>
      <c r="AR14" s="15"/>
      <c r="AS14" s="15"/>
      <c r="AT14" s="15"/>
      <c r="AU14" s="15"/>
      <c r="AV14" s="15"/>
      <c r="AW14" s="17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37">
        <f t="shared" si="1"/>
        <v>0</v>
      </c>
    </row>
    <row r="15" spans="1:62">
      <c r="A15" s="15">
        <v>11</v>
      </c>
      <c r="B15" s="65" t="s">
        <v>18</v>
      </c>
      <c r="C15" s="15">
        <v>470</v>
      </c>
      <c r="D15" s="15">
        <v>433</v>
      </c>
      <c r="E15" s="17">
        <v>334</v>
      </c>
      <c r="F15" s="20" t="s">
        <v>61</v>
      </c>
      <c r="G15" s="20" t="s">
        <v>61</v>
      </c>
      <c r="H15" s="15" t="s">
        <v>62</v>
      </c>
      <c r="I15" s="15" t="s">
        <v>63</v>
      </c>
      <c r="J15" s="15" t="s">
        <v>62</v>
      </c>
      <c r="K15" s="15" t="s">
        <v>61</v>
      </c>
      <c r="L15" s="15"/>
      <c r="M15" s="15"/>
      <c r="N15" s="15"/>
      <c r="O15" s="15"/>
      <c r="P15" s="15"/>
      <c r="Q15" s="15"/>
      <c r="R15" s="15"/>
      <c r="S15" s="15"/>
      <c r="T15" s="17"/>
      <c r="U15" s="15"/>
      <c r="V15" s="103"/>
      <c r="W15" s="15"/>
      <c r="X15" s="15"/>
      <c r="Y15" s="15"/>
      <c r="Z15" s="15"/>
      <c r="AA15" s="37">
        <f t="shared" si="0"/>
        <v>1237</v>
      </c>
      <c r="AC15" s="17">
        <v>11</v>
      </c>
      <c r="AD15" s="15">
        <v>11</v>
      </c>
      <c r="AE15" s="65" t="s">
        <v>18</v>
      </c>
      <c r="AF15" s="15"/>
      <c r="AG15" s="15"/>
      <c r="AH15" s="17"/>
      <c r="AI15" s="20"/>
      <c r="AJ15" s="94"/>
      <c r="AK15" s="20"/>
      <c r="AL15" s="20"/>
      <c r="AM15" s="20"/>
      <c r="AN15" s="15"/>
      <c r="AO15" s="15"/>
      <c r="AP15" s="15"/>
      <c r="AQ15" s="15"/>
      <c r="AR15" s="15"/>
      <c r="AS15" s="15"/>
      <c r="AT15" s="15"/>
      <c r="AU15" s="15"/>
      <c r="AV15" s="15"/>
      <c r="AW15" s="17"/>
      <c r="AX15" s="15"/>
      <c r="AY15" s="15"/>
      <c r="AZ15" s="17"/>
      <c r="BA15" s="17"/>
      <c r="BB15" s="15"/>
      <c r="BC15" s="15"/>
      <c r="BD15" s="15"/>
      <c r="BE15" s="15"/>
      <c r="BF15" s="15"/>
      <c r="BG15" s="15"/>
      <c r="BH15" s="15"/>
      <c r="BI15" s="15"/>
      <c r="BJ15" s="37">
        <f t="shared" si="1"/>
        <v>0</v>
      </c>
    </row>
    <row r="16" spans="1:62">
      <c r="A16" s="15">
        <v>12</v>
      </c>
      <c r="B16" s="65" t="s">
        <v>19</v>
      </c>
      <c r="C16" s="15">
        <v>376</v>
      </c>
      <c r="D16" s="15">
        <v>296</v>
      </c>
      <c r="E16" s="17">
        <v>334</v>
      </c>
      <c r="F16" s="17" t="s">
        <v>61</v>
      </c>
      <c r="G16" s="17" t="s">
        <v>61</v>
      </c>
      <c r="H16" s="15" t="s">
        <v>62</v>
      </c>
      <c r="I16" s="15" t="s">
        <v>63</v>
      </c>
      <c r="J16" s="15" t="s">
        <v>62</v>
      </c>
      <c r="K16" s="15">
        <v>388</v>
      </c>
      <c r="L16" s="15"/>
      <c r="M16" s="15"/>
      <c r="N16" s="15"/>
      <c r="O16" s="15"/>
      <c r="P16" s="15"/>
      <c r="Q16" s="15"/>
      <c r="R16" s="15"/>
      <c r="S16" s="15"/>
      <c r="T16" s="17"/>
      <c r="U16" s="15"/>
      <c r="V16" s="103"/>
      <c r="W16" s="15"/>
      <c r="X16" s="15"/>
      <c r="Y16" s="15"/>
      <c r="Z16" s="15"/>
      <c r="AA16" s="37">
        <f t="shared" si="0"/>
        <v>1394</v>
      </c>
      <c r="AC16" s="17">
        <v>12</v>
      </c>
      <c r="AD16" s="15">
        <v>12</v>
      </c>
      <c r="AE16" s="65" t="s">
        <v>19</v>
      </c>
      <c r="AF16" s="15"/>
      <c r="AG16" s="15"/>
      <c r="AH16" s="17"/>
      <c r="AI16" s="17"/>
      <c r="AJ16" s="93"/>
      <c r="AK16" s="17"/>
      <c r="AL16" s="17"/>
      <c r="AM16" s="17"/>
      <c r="AN16" s="15"/>
      <c r="AO16" s="15"/>
      <c r="AP16" s="15"/>
      <c r="AQ16" s="15"/>
      <c r="AR16" s="15"/>
      <c r="AS16" s="15"/>
      <c r="AT16" s="15"/>
      <c r="AU16" s="15"/>
      <c r="AV16" s="15"/>
      <c r="AW16" s="17"/>
      <c r="AX16" s="15"/>
      <c r="AY16" s="15"/>
      <c r="AZ16" s="17"/>
      <c r="BA16" s="17"/>
      <c r="BB16" s="15"/>
      <c r="BC16" s="15"/>
      <c r="BD16" s="15"/>
      <c r="BE16" s="15"/>
      <c r="BF16" s="15"/>
      <c r="BG16" s="15"/>
      <c r="BH16" s="15"/>
      <c r="BI16" s="15"/>
      <c r="BJ16" s="37">
        <f t="shared" si="1"/>
        <v>0</v>
      </c>
    </row>
    <row r="17" spans="1:62">
      <c r="A17" s="15">
        <v>13</v>
      </c>
      <c r="B17" s="65" t="s">
        <v>20</v>
      </c>
      <c r="C17" s="15">
        <v>664</v>
      </c>
      <c r="D17" s="15">
        <v>748</v>
      </c>
      <c r="E17" s="17">
        <v>614</v>
      </c>
      <c r="F17" s="20" t="s">
        <v>61</v>
      </c>
      <c r="G17" s="20" t="s">
        <v>61</v>
      </c>
      <c r="H17" s="15" t="s">
        <v>62</v>
      </c>
      <c r="I17" s="15" t="s">
        <v>63</v>
      </c>
      <c r="J17" s="15" t="s">
        <v>62</v>
      </c>
      <c r="K17" s="15" t="s">
        <v>61</v>
      </c>
      <c r="L17" s="15"/>
      <c r="M17" s="15"/>
      <c r="N17" s="15"/>
      <c r="O17" s="15"/>
      <c r="P17" s="15"/>
      <c r="Q17" s="15"/>
      <c r="R17" s="15"/>
      <c r="S17" s="15"/>
      <c r="T17" s="17"/>
      <c r="U17" s="15"/>
      <c r="V17" s="103"/>
      <c r="W17" s="15"/>
      <c r="X17" s="15"/>
      <c r="Y17" s="15"/>
      <c r="Z17" s="15"/>
      <c r="AA17" s="37">
        <f t="shared" si="0"/>
        <v>2026</v>
      </c>
      <c r="AC17" s="17">
        <v>13</v>
      </c>
      <c r="AD17" s="15">
        <v>13</v>
      </c>
      <c r="AE17" s="65" t="s">
        <v>20</v>
      </c>
      <c r="AF17" s="15"/>
      <c r="AG17" s="15"/>
      <c r="AH17" s="17"/>
      <c r="AI17" s="20"/>
      <c r="AJ17" s="94"/>
      <c r="AK17" s="20"/>
      <c r="AL17" s="20"/>
      <c r="AM17" s="20"/>
      <c r="AN17" s="15"/>
      <c r="AO17" s="15"/>
      <c r="AP17" s="15"/>
      <c r="AQ17" s="15"/>
      <c r="AR17" s="15"/>
      <c r="AS17" s="15"/>
      <c r="AT17" s="15"/>
      <c r="AU17" s="15"/>
      <c r="AV17" s="15"/>
      <c r="AW17" s="17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37">
        <f t="shared" si="1"/>
        <v>0</v>
      </c>
    </row>
    <row r="18" spans="1:62">
      <c r="A18" s="15">
        <v>14</v>
      </c>
      <c r="B18" s="65" t="s">
        <v>21</v>
      </c>
      <c r="C18" s="15">
        <v>524</v>
      </c>
      <c r="D18" s="15">
        <v>451</v>
      </c>
      <c r="E18" s="17">
        <v>393</v>
      </c>
      <c r="F18" s="17" t="s">
        <v>61</v>
      </c>
      <c r="G18" s="17" t="s">
        <v>61</v>
      </c>
      <c r="H18" s="15" t="s">
        <v>62</v>
      </c>
      <c r="I18" s="15" t="s">
        <v>63</v>
      </c>
      <c r="J18" s="15" t="s">
        <v>62</v>
      </c>
      <c r="K18" s="15" t="s">
        <v>61</v>
      </c>
      <c r="L18" s="15"/>
      <c r="M18" s="15"/>
      <c r="N18" s="15"/>
      <c r="O18" s="15"/>
      <c r="P18" s="15"/>
      <c r="Q18" s="15"/>
      <c r="R18" s="15"/>
      <c r="S18" s="15"/>
      <c r="T18" s="17"/>
      <c r="U18" s="15"/>
      <c r="V18" s="103"/>
      <c r="W18" s="15"/>
      <c r="X18" s="15"/>
      <c r="Y18" s="15"/>
      <c r="Z18" s="15"/>
      <c r="AA18" s="37">
        <f t="shared" si="0"/>
        <v>1368</v>
      </c>
      <c r="AC18" s="17">
        <v>14</v>
      </c>
      <c r="AD18" s="15">
        <v>14</v>
      </c>
      <c r="AE18" s="65" t="s">
        <v>21</v>
      </c>
      <c r="AF18" s="15"/>
      <c r="AG18" s="15"/>
      <c r="AH18" s="17"/>
      <c r="AI18" s="17"/>
      <c r="AJ18" s="93"/>
      <c r="AK18" s="17"/>
      <c r="AL18" s="17"/>
      <c r="AM18" s="17"/>
      <c r="AN18" s="15"/>
      <c r="AO18" s="15"/>
      <c r="AP18" s="15"/>
      <c r="AQ18" s="15"/>
      <c r="AR18" s="15"/>
      <c r="AS18" s="15"/>
      <c r="AT18" s="15"/>
      <c r="AU18" s="15"/>
      <c r="AV18" s="15"/>
      <c r="AW18" s="17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37">
        <f t="shared" si="1"/>
        <v>0</v>
      </c>
    </row>
    <row r="19" spans="1:62" ht="15.75" customHeight="1">
      <c r="A19" s="15">
        <v>15</v>
      </c>
      <c r="B19" s="65" t="s">
        <v>22</v>
      </c>
      <c r="C19" s="15">
        <v>572</v>
      </c>
      <c r="D19" s="15">
        <v>447</v>
      </c>
      <c r="E19" s="17">
        <v>429</v>
      </c>
      <c r="F19" s="20" t="s">
        <v>61</v>
      </c>
      <c r="G19" s="20" t="s">
        <v>61</v>
      </c>
      <c r="H19" s="15" t="s">
        <v>62</v>
      </c>
      <c r="I19" s="15" t="s">
        <v>63</v>
      </c>
      <c r="J19" s="15" t="s">
        <v>62</v>
      </c>
      <c r="K19" s="15">
        <v>659</v>
      </c>
      <c r="L19" s="15"/>
      <c r="M19" s="15"/>
      <c r="N19" s="15"/>
      <c r="O19" s="15"/>
      <c r="P19" s="15"/>
      <c r="Q19" s="15"/>
      <c r="R19" s="15"/>
      <c r="S19" s="15"/>
      <c r="T19" s="17"/>
      <c r="U19" s="15"/>
      <c r="V19" s="103"/>
      <c r="W19" s="15"/>
      <c r="X19" s="15"/>
      <c r="Y19" s="15"/>
      <c r="Z19" s="15"/>
      <c r="AA19" s="37">
        <f t="shared" si="0"/>
        <v>2107</v>
      </c>
      <c r="AC19" s="17">
        <v>15</v>
      </c>
      <c r="AD19" s="15">
        <v>15</v>
      </c>
      <c r="AE19" s="65" t="s">
        <v>22</v>
      </c>
      <c r="AF19" s="15"/>
      <c r="AG19" s="15"/>
      <c r="AH19" s="17"/>
      <c r="AI19" s="20"/>
      <c r="AJ19" s="94"/>
      <c r="AK19" s="20"/>
      <c r="AL19" s="20"/>
      <c r="AM19" s="20"/>
      <c r="AN19" s="15"/>
      <c r="AO19" s="15"/>
      <c r="AP19" s="15"/>
      <c r="AQ19" s="15"/>
      <c r="AR19" s="15"/>
      <c r="AS19" s="15"/>
      <c r="AT19" s="15"/>
      <c r="AU19" s="15"/>
      <c r="AV19" s="15"/>
      <c r="AW19" s="17"/>
      <c r="AX19" s="15"/>
      <c r="AY19" s="15"/>
      <c r="AZ19" s="17"/>
      <c r="BA19" s="17"/>
      <c r="BB19" s="15"/>
      <c r="BC19" s="15"/>
      <c r="BD19" s="15"/>
      <c r="BE19" s="15"/>
      <c r="BF19" s="15"/>
      <c r="BG19" s="15"/>
      <c r="BH19" s="15"/>
      <c r="BI19" s="15"/>
      <c r="BJ19" s="37">
        <f t="shared" si="1"/>
        <v>0</v>
      </c>
    </row>
    <row r="20" spans="1:62" ht="15.75" customHeight="1">
      <c r="A20" s="15">
        <v>16</v>
      </c>
      <c r="B20" s="65" t="s">
        <v>23</v>
      </c>
      <c r="C20" s="15">
        <v>404</v>
      </c>
      <c r="D20" s="15">
        <v>438</v>
      </c>
      <c r="E20" s="17">
        <v>376</v>
      </c>
      <c r="F20" s="17" t="s">
        <v>61</v>
      </c>
      <c r="G20" s="17" t="s">
        <v>61</v>
      </c>
      <c r="H20" s="15" t="s">
        <v>62</v>
      </c>
      <c r="I20" s="15" t="s">
        <v>63</v>
      </c>
      <c r="J20" s="15" t="s">
        <v>62</v>
      </c>
      <c r="K20" s="15" t="s">
        <v>61</v>
      </c>
      <c r="L20" s="15"/>
      <c r="M20" s="15"/>
      <c r="N20" s="15"/>
      <c r="O20" s="15"/>
      <c r="P20" s="15"/>
      <c r="Q20" s="15"/>
      <c r="R20" s="15"/>
      <c r="S20" s="15"/>
      <c r="T20" s="17"/>
      <c r="U20" s="15"/>
      <c r="V20" s="103"/>
      <c r="W20" s="15"/>
      <c r="X20" s="15"/>
      <c r="Y20" s="15"/>
      <c r="Z20" s="15"/>
      <c r="AA20" s="37">
        <f t="shared" si="0"/>
        <v>1218</v>
      </c>
      <c r="AC20" s="17">
        <v>16</v>
      </c>
      <c r="AD20" s="15">
        <v>16</v>
      </c>
      <c r="AE20" s="65" t="s">
        <v>23</v>
      </c>
      <c r="AF20" s="15"/>
      <c r="AG20" s="15"/>
      <c r="AH20" s="17"/>
      <c r="AI20" s="17"/>
      <c r="AJ20" s="93"/>
      <c r="AK20" s="17"/>
      <c r="AL20" s="17"/>
      <c r="AM20" s="17"/>
      <c r="AN20" s="15"/>
      <c r="AO20" s="15"/>
      <c r="AP20" s="15"/>
      <c r="AQ20" s="15"/>
      <c r="AR20" s="15"/>
      <c r="AS20" s="15"/>
      <c r="AT20" s="15"/>
      <c r="AU20" s="15"/>
      <c r="AV20" s="15"/>
      <c r="AW20" s="17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37">
        <f t="shared" si="1"/>
        <v>0</v>
      </c>
    </row>
    <row r="21" spans="1:62" ht="15.75" customHeight="1">
      <c r="A21" s="15">
        <v>17</v>
      </c>
      <c r="B21" s="65" t="s">
        <v>65</v>
      </c>
      <c r="C21" s="15">
        <v>0</v>
      </c>
      <c r="D21" s="15">
        <v>326</v>
      </c>
      <c r="E21" s="17">
        <v>255</v>
      </c>
      <c r="F21" s="20" t="s">
        <v>61</v>
      </c>
      <c r="G21" s="20" t="s">
        <v>61</v>
      </c>
      <c r="H21" s="15" t="s">
        <v>62</v>
      </c>
      <c r="I21" s="15" t="s">
        <v>63</v>
      </c>
      <c r="J21" s="15" t="s">
        <v>62</v>
      </c>
      <c r="K21" s="15" t="s">
        <v>61</v>
      </c>
      <c r="L21" s="15"/>
      <c r="M21" s="15"/>
      <c r="N21" s="15"/>
      <c r="O21" s="15"/>
      <c r="P21" s="15"/>
      <c r="Q21" s="15"/>
      <c r="R21" s="15"/>
      <c r="S21" s="15"/>
      <c r="T21" s="17"/>
      <c r="U21" s="95"/>
      <c r="V21" s="103"/>
      <c r="W21" s="15"/>
      <c r="X21" s="15"/>
      <c r="Y21" s="15"/>
      <c r="Z21" s="15"/>
      <c r="AA21" s="37">
        <f t="shared" si="0"/>
        <v>581</v>
      </c>
      <c r="AC21" s="17">
        <v>17</v>
      </c>
      <c r="AD21" s="15">
        <v>17</v>
      </c>
      <c r="AE21" s="65" t="s">
        <v>65</v>
      </c>
      <c r="AF21" s="69"/>
      <c r="AG21" s="15"/>
      <c r="AH21" s="17"/>
      <c r="AI21" s="20"/>
      <c r="AJ21" s="94"/>
      <c r="AK21" s="20"/>
      <c r="AL21" s="20"/>
      <c r="AM21" s="20"/>
      <c r="AN21" s="15"/>
      <c r="AO21" s="15"/>
      <c r="AP21" s="15"/>
      <c r="AQ21" s="15"/>
      <c r="AR21" s="15"/>
      <c r="AS21" s="15"/>
      <c r="AT21" s="15"/>
      <c r="AU21" s="15"/>
      <c r="AV21" s="15"/>
      <c r="AW21" s="17"/>
      <c r="AX21" s="9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37">
        <f t="shared" si="1"/>
        <v>0</v>
      </c>
    </row>
    <row r="22" spans="1:62" s="124" customFormat="1" ht="14.25" customHeight="1">
      <c r="A22" s="3"/>
      <c r="B22" s="83" t="s">
        <v>24</v>
      </c>
      <c r="C22" s="3">
        <v>8070</v>
      </c>
      <c r="D22" s="3">
        <v>8295</v>
      </c>
      <c r="E22" s="57">
        <v>7370</v>
      </c>
      <c r="F22" s="28"/>
      <c r="G22" s="28"/>
      <c r="H22" s="3"/>
      <c r="I22" s="3"/>
      <c r="J22" s="3"/>
      <c r="K22" s="3">
        <v>2132</v>
      </c>
      <c r="L22" s="3"/>
      <c r="M22" s="3"/>
      <c r="N22" s="3"/>
      <c r="O22" s="3"/>
      <c r="P22" s="3"/>
      <c r="Q22" s="3"/>
      <c r="R22" s="3"/>
      <c r="S22" s="3"/>
      <c r="T22" s="3"/>
      <c r="U22" s="97"/>
      <c r="V22" s="3"/>
      <c r="W22" s="3"/>
      <c r="X22" s="3"/>
      <c r="Y22" s="3"/>
      <c r="Z22" s="3"/>
      <c r="AA22" s="98">
        <f>SUM(AA5:AA21)</f>
        <v>25867</v>
      </c>
      <c r="AC22" s="57"/>
      <c r="AD22" s="3"/>
      <c r="AE22" s="83" t="s">
        <v>24</v>
      </c>
      <c r="AF22" s="71"/>
      <c r="AG22" s="129"/>
      <c r="AH22" s="57"/>
      <c r="AI22" s="96"/>
      <c r="AJ22" s="96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97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98">
        <f>SUM(BJ5:BJ21)</f>
        <v>0</v>
      </c>
    </row>
    <row r="23" spans="1:62" ht="15.75" customHeight="1">
      <c r="A23" s="45">
        <v>18</v>
      </c>
      <c r="B23" s="130" t="s">
        <v>25</v>
      </c>
      <c r="C23" s="8">
        <v>530</v>
      </c>
      <c r="D23" s="37">
        <v>477</v>
      </c>
      <c r="E23" s="37">
        <v>358</v>
      </c>
      <c r="F23" s="37" t="s">
        <v>61</v>
      </c>
      <c r="G23" s="37" t="s">
        <v>61</v>
      </c>
      <c r="H23" s="37" t="s">
        <v>62</v>
      </c>
      <c r="I23" s="37" t="s">
        <v>63</v>
      </c>
      <c r="J23" s="37" t="s">
        <v>62</v>
      </c>
      <c r="K23" s="37" t="s">
        <v>61</v>
      </c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>
        <v>0</v>
      </c>
      <c r="AC23" s="45">
        <v>18</v>
      </c>
      <c r="AD23" s="8">
        <v>18</v>
      </c>
      <c r="AE23" s="99" t="s">
        <v>25</v>
      </c>
      <c r="AF23" s="19"/>
      <c r="AG23" s="37"/>
      <c r="AH23" s="37"/>
      <c r="AI23" s="100"/>
      <c r="AJ23" s="101"/>
      <c r="AK23" s="8"/>
      <c r="AL23" s="100"/>
      <c r="AM23" s="8"/>
      <c r="AN23" s="37"/>
      <c r="AO23" s="37"/>
      <c r="AP23" s="37"/>
      <c r="AQ23" s="37"/>
      <c r="AR23" s="37"/>
      <c r="AS23" s="37"/>
      <c r="AT23" s="37"/>
      <c r="AU23" s="37"/>
      <c r="AV23" s="100"/>
      <c r="AW23" s="8"/>
      <c r="AX23" s="37"/>
      <c r="AY23" s="45"/>
      <c r="AZ23" s="8"/>
      <c r="BA23" s="37"/>
      <c r="BB23" s="37"/>
      <c r="BC23" s="37"/>
      <c r="BD23" s="37"/>
      <c r="BE23" s="37"/>
      <c r="BF23" s="37"/>
      <c r="BG23" s="37"/>
      <c r="BH23" s="37"/>
      <c r="BI23" s="37"/>
      <c r="BJ23" s="37">
        <f t="shared" ref="BJ23:BJ47" si="2">SUM(AF23:BB23)</f>
        <v>0</v>
      </c>
    </row>
    <row r="24" spans="1:62" ht="15.75" customHeight="1">
      <c r="A24" s="17">
        <v>19</v>
      </c>
      <c r="B24" s="109" t="s">
        <v>66</v>
      </c>
      <c r="C24" s="15">
        <v>356</v>
      </c>
      <c r="D24" s="103">
        <v>396</v>
      </c>
      <c r="E24" s="103">
        <v>326</v>
      </c>
      <c r="F24" s="103" t="s">
        <v>61</v>
      </c>
      <c r="G24" s="103" t="s">
        <v>61</v>
      </c>
      <c r="H24" s="103" t="s">
        <v>62</v>
      </c>
      <c r="I24" s="103" t="s">
        <v>63</v>
      </c>
      <c r="J24" s="103" t="s">
        <v>62</v>
      </c>
      <c r="K24" s="103">
        <v>485</v>
      </c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37">
        <f t="shared" ref="AA24:AA37" si="3">SUM(C24:Z24)</f>
        <v>1563</v>
      </c>
      <c r="AC24" s="17">
        <v>19</v>
      </c>
      <c r="AD24" s="15">
        <v>19</v>
      </c>
      <c r="AE24" s="102" t="s">
        <v>66</v>
      </c>
      <c r="AF24" s="15"/>
      <c r="AG24" s="103"/>
      <c r="AH24" s="103"/>
      <c r="AI24" s="65"/>
      <c r="AJ24" s="93"/>
      <c r="AK24" s="15"/>
      <c r="AL24" s="65"/>
      <c r="AM24" s="15"/>
      <c r="AN24" s="103"/>
      <c r="AO24" s="103"/>
      <c r="AP24" s="103"/>
      <c r="AQ24" s="103"/>
      <c r="AR24" s="103"/>
      <c r="AS24" s="103"/>
      <c r="AT24" s="103"/>
      <c r="AU24" s="103"/>
      <c r="AV24" s="65"/>
      <c r="AW24" s="15"/>
      <c r="AX24" s="103"/>
      <c r="AY24" s="17"/>
      <c r="AZ24" s="15"/>
      <c r="BA24" s="103"/>
      <c r="BB24" s="103"/>
      <c r="BC24" s="103"/>
      <c r="BD24" s="103"/>
      <c r="BE24" s="103"/>
      <c r="BF24" s="103"/>
      <c r="BG24" s="103"/>
      <c r="BH24" s="103"/>
      <c r="BI24" s="103"/>
      <c r="BJ24" s="37">
        <f t="shared" si="2"/>
        <v>0</v>
      </c>
    </row>
    <row r="25" spans="1:62" ht="15.75" customHeight="1">
      <c r="A25" s="17">
        <v>20</v>
      </c>
      <c r="B25" s="109" t="s">
        <v>26</v>
      </c>
      <c r="C25" s="15">
        <v>474</v>
      </c>
      <c r="D25" s="103">
        <v>405</v>
      </c>
      <c r="E25" s="103">
        <v>394</v>
      </c>
      <c r="F25" s="103" t="s">
        <v>61</v>
      </c>
      <c r="G25" s="103" t="s">
        <v>61</v>
      </c>
      <c r="H25" s="103" t="s">
        <v>62</v>
      </c>
      <c r="I25" s="103" t="s">
        <v>63</v>
      </c>
      <c r="J25" s="103" t="s">
        <v>62</v>
      </c>
      <c r="K25" s="103" t="s">
        <v>61</v>
      </c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37">
        <f t="shared" si="3"/>
        <v>1273</v>
      </c>
      <c r="AC25" s="17">
        <v>20</v>
      </c>
      <c r="AD25" s="15">
        <v>20</v>
      </c>
      <c r="AE25" s="102" t="s">
        <v>26</v>
      </c>
      <c r="AF25" s="15"/>
      <c r="AG25" s="103"/>
      <c r="AH25" s="103"/>
      <c r="AI25" s="17"/>
      <c r="AJ25" s="93"/>
      <c r="AK25" s="15"/>
      <c r="AL25" s="65"/>
      <c r="AM25" s="15"/>
      <c r="AN25" s="65"/>
      <c r="AO25" s="103"/>
      <c r="AP25" s="103"/>
      <c r="AQ25" s="103"/>
      <c r="AR25" s="103"/>
      <c r="AS25" s="103"/>
      <c r="AT25" s="103"/>
      <c r="AU25" s="103"/>
      <c r="AV25" s="65"/>
      <c r="AW25" s="15"/>
      <c r="AX25" s="103"/>
      <c r="AY25" s="17"/>
      <c r="AZ25" s="15"/>
      <c r="BA25" s="103"/>
      <c r="BB25" s="103"/>
      <c r="BC25" s="103"/>
      <c r="BD25" s="103"/>
      <c r="BE25" s="103"/>
      <c r="BF25" s="103"/>
      <c r="BG25" s="103"/>
      <c r="BH25" s="103"/>
      <c r="BI25" s="103"/>
      <c r="BJ25" s="37">
        <f t="shared" si="2"/>
        <v>0</v>
      </c>
    </row>
    <row r="26" spans="1:62" ht="15.75" customHeight="1">
      <c r="A26" s="17">
        <v>21</v>
      </c>
      <c r="B26" s="109" t="s">
        <v>27</v>
      </c>
      <c r="C26" s="15">
        <v>392</v>
      </c>
      <c r="D26" s="103">
        <v>457</v>
      </c>
      <c r="E26" s="103">
        <v>414</v>
      </c>
      <c r="F26" s="103" t="s">
        <v>61</v>
      </c>
      <c r="G26" s="103" t="s">
        <v>61</v>
      </c>
      <c r="H26" s="103" t="s">
        <v>62</v>
      </c>
      <c r="I26" s="103" t="s">
        <v>63</v>
      </c>
      <c r="J26" s="103" t="s">
        <v>62</v>
      </c>
      <c r="K26" s="103">
        <v>462</v>
      </c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37">
        <f t="shared" si="3"/>
        <v>1725</v>
      </c>
      <c r="AC26" s="17">
        <v>21</v>
      </c>
      <c r="AD26" s="15">
        <v>21</v>
      </c>
      <c r="AE26" s="102" t="s">
        <v>27</v>
      </c>
      <c r="AF26" s="15"/>
      <c r="AG26" s="103"/>
      <c r="AH26" s="103"/>
      <c r="AI26" s="65"/>
      <c r="AJ26" s="93"/>
      <c r="AK26" s="15"/>
      <c r="AL26" s="65"/>
      <c r="AM26" s="15"/>
      <c r="AN26" s="16"/>
      <c r="AO26" s="103"/>
      <c r="AP26" s="103"/>
      <c r="AQ26" s="103"/>
      <c r="AR26" s="103"/>
      <c r="AS26" s="103"/>
      <c r="AT26" s="103"/>
      <c r="AU26" s="103"/>
      <c r="AV26" s="65"/>
      <c r="AW26" s="15"/>
      <c r="AX26" s="103"/>
      <c r="AY26" s="17"/>
      <c r="AZ26" s="15"/>
      <c r="BA26" s="103"/>
      <c r="BB26" s="103"/>
      <c r="BC26" s="103"/>
      <c r="BD26" s="103"/>
      <c r="BE26" s="103"/>
      <c r="BF26" s="103"/>
      <c r="BG26" s="103"/>
      <c r="BH26" s="103"/>
      <c r="BI26" s="103"/>
      <c r="BJ26" s="37">
        <f t="shared" si="2"/>
        <v>0</v>
      </c>
    </row>
    <row r="27" spans="1:62" ht="15.75" customHeight="1">
      <c r="A27" s="17">
        <v>22</v>
      </c>
      <c r="B27" s="109" t="s">
        <v>28</v>
      </c>
      <c r="C27" s="15">
        <v>577</v>
      </c>
      <c r="D27" s="103">
        <v>0</v>
      </c>
      <c r="E27" s="103">
        <v>284</v>
      </c>
      <c r="F27" s="103" t="s">
        <v>61</v>
      </c>
      <c r="G27" s="103" t="s">
        <v>61</v>
      </c>
      <c r="H27" s="103" t="s">
        <v>62</v>
      </c>
      <c r="I27" s="103" t="s">
        <v>63</v>
      </c>
      <c r="J27" s="103" t="s">
        <v>62</v>
      </c>
      <c r="K27" s="103">
        <v>467</v>
      </c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37">
        <f t="shared" si="3"/>
        <v>1328</v>
      </c>
      <c r="AC27" s="17">
        <v>23</v>
      </c>
      <c r="AD27" s="15">
        <v>22</v>
      </c>
      <c r="AE27" s="102" t="s">
        <v>28</v>
      </c>
      <c r="AF27" s="15"/>
      <c r="AG27" s="103"/>
      <c r="AH27" s="103"/>
      <c r="AI27" s="17"/>
      <c r="AJ27" s="93"/>
      <c r="AK27" s="15"/>
      <c r="AL27" s="65"/>
      <c r="AM27" s="15"/>
      <c r="AN27" s="103"/>
      <c r="AO27" s="103"/>
      <c r="AP27" s="103"/>
      <c r="AQ27" s="103"/>
      <c r="AR27" s="103"/>
      <c r="AS27" s="103"/>
      <c r="AT27" s="103"/>
      <c r="AU27" s="103"/>
      <c r="AV27" s="65"/>
      <c r="AW27" s="15"/>
      <c r="AX27" s="103"/>
      <c r="AY27" s="17"/>
      <c r="AZ27" s="15"/>
      <c r="BA27" s="103"/>
      <c r="BB27" s="103"/>
      <c r="BC27" s="103"/>
      <c r="BD27" s="103"/>
      <c r="BE27" s="103"/>
      <c r="BF27" s="103"/>
      <c r="BG27" s="103"/>
      <c r="BH27" s="103"/>
      <c r="BI27" s="103"/>
      <c r="BJ27" s="37">
        <f t="shared" si="2"/>
        <v>0</v>
      </c>
    </row>
    <row r="28" spans="1:62" ht="15.75" customHeight="1">
      <c r="A28" s="17">
        <v>23</v>
      </c>
      <c r="B28" s="109" t="s">
        <v>29</v>
      </c>
      <c r="C28" s="107">
        <v>0</v>
      </c>
      <c r="D28" s="104">
        <v>371</v>
      </c>
      <c r="E28" s="104">
        <v>288</v>
      </c>
      <c r="F28" s="103" t="s">
        <v>61</v>
      </c>
      <c r="G28" s="103" t="s">
        <v>61</v>
      </c>
      <c r="H28" s="103" t="s">
        <v>62</v>
      </c>
      <c r="I28" s="103" t="s">
        <v>63</v>
      </c>
      <c r="J28" s="103" t="s">
        <v>62</v>
      </c>
      <c r="K28" s="104">
        <v>402</v>
      </c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37">
        <f t="shared" si="3"/>
        <v>1061</v>
      </c>
      <c r="AC28" s="17">
        <v>24</v>
      </c>
      <c r="AD28" s="15">
        <v>23</v>
      </c>
      <c r="AE28" s="102" t="s">
        <v>29</v>
      </c>
      <c r="AF28" s="15"/>
      <c r="AG28" s="104"/>
      <c r="AH28" s="104"/>
      <c r="AI28" s="65"/>
      <c r="AJ28" s="93"/>
      <c r="AK28" s="15"/>
      <c r="AL28" s="65"/>
      <c r="AM28" s="15"/>
      <c r="AN28" s="104"/>
      <c r="AO28" s="104"/>
      <c r="AP28" s="104"/>
      <c r="AQ28" s="104"/>
      <c r="AR28" s="104"/>
      <c r="AS28" s="104"/>
      <c r="AT28" s="104"/>
      <c r="AU28" s="104"/>
      <c r="AV28" s="105"/>
      <c r="AW28" s="15"/>
      <c r="AX28" s="104"/>
      <c r="AY28" s="106"/>
      <c r="AZ28" s="107"/>
      <c r="BA28" s="103"/>
      <c r="BB28" s="104"/>
      <c r="BC28" s="104"/>
      <c r="BD28" s="104"/>
      <c r="BE28" s="104"/>
      <c r="BF28" s="104"/>
      <c r="BG28" s="104"/>
      <c r="BH28" s="104"/>
      <c r="BI28" s="104"/>
      <c r="BJ28" s="37">
        <f t="shared" si="2"/>
        <v>0</v>
      </c>
    </row>
    <row r="29" spans="1:62" ht="15.75" customHeight="1">
      <c r="A29" s="17">
        <v>24</v>
      </c>
      <c r="B29" s="109" t="s">
        <v>30</v>
      </c>
      <c r="C29" s="108">
        <v>446</v>
      </c>
      <c r="D29" s="38">
        <v>429</v>
      </c>
      <c r="E29" s="38">
        <v>349</v>
      </c>
      <c r="F29" s="103" t="s">
        <v>61</v>
      </c>
      <c r="G29" s="103" t="s">
        <v>61</v>
      </c>
      <c r="H29" s="103" t="s">
        <v>62</v>
      </c>
      <c r="I29" s="103" t="s">
        <v>63</v>
      </c>
      <c r="J29" s="103" t="s">
        <v>62</v>
      </c>
      <c r="K29" s="38" t="s">
        <v>61</v>
      </c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7">
        <f t="shared" si="3"/>
        <v>1224</v>
      </c>
      <c r="AC29" s="17">
        <v>25</v>
      </c>
      <c r="AD29" s="15">
        <v>24</v>
      </c>
      <c r="AE29" s="102" t="s">
        <v>30</v>
      </c>
      <c r="AF29" s="15"/>
      <c r="AG29" s="38"/>
      <c r="AH29" s="38"/>
      <c r="AI29" s="17"/>
      <c r="AJ29" s="93"/>
      <c r="AK29" s="15"/>
      <c r="AL29" s="65"/>
      <c r="AM29" s="15"/>
      <c r="AN29" s="38"/>
      <c r="AO29" s="38"/>
      <c r="AP29" s="38"/>
      <c r="AQ29" s="38"/>
      <c r="AR29" s="38"/>
      <c r="AS29" s="38"/>
      <c r="AT29" s="38"/>
      <c r="AU29" s="38"/>
      <c r="AV29" s="102"/>
      <c r="AW29" s="108"/>
      <c r="AX29" s="38"/>
      <c r="AY29" s="109"/>
      <c r="AZ29" s="108"/>
      <c r="BA29" s="38"/>
      <c r="BB29" s="38"/>
      <c r="BC29" s="38"/>
      <c r="BD29" s="38"/>
      <c r="BE29" s="38"/>
      <c r="BF29" s="38"/>
      <c r="BG29" s="38"/>
      <c r="BH29" s="38"/>
      <c r="BI29" s="38"/>
      <c r="BJ29" s="37">
        <f t="shared" si="2"/>
        <v>0</v>
      </c>
    </row>
    <row r="30" spans="1:62" ht="15.75" customHeight="1">
      <c r="A30" s="17">
        <v>25</v>
      </c>
      <c r="B30" s="109" t="s">
        <v>31</v>
      </c>
      <c r="C30" s="108">
        <v>490</v>
      </c>
      <c r="D30" s="38">
        <v>490</v>
      </c>
      <c r="E30" s="38">
        <v>379</v>
      </c>
      <c r="F30" s="103" t="s">
        <v>61</v>
      </c>
      <c r="G30" s="103" t="s">
        <v>61</v>
      </c>
      <c r="H30" s="103" t="s">
        <v>62</v>
      </c>
      <c r="I30" s="103" t="s">
        <v>63</v>
      </c>
      <c r="J30" s="103" t="s">
        <v>62</v>
      </c>
      <c r="K30" s="38" t="s">
        <v>64</v>
      </c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7">
        <f t="shared" si="3"/>
        <v>1359</v>
      </c>
      <c r="AC30" s="17">
        <v>26</v>
      </c>
      <c r="AD30" s="15">
        <v>25</v>
      </c>
      <c r="AE30" s="102" t="s">
        <v>31</v>
      </c>
      <c r="AF30" s="15"/>
      <c r="AG30" s="38"/>
      <c r="AH30" s="38"/>
      <c r="AI30" s="65"/>
      <c r="AJ30" s="93"/>
      <c r="AK30" s="15"/>
      <c r="AL30" s="65"/>
      <c r="AM30" s="15"/>
      <c r="AN30" s="38"/>
      <c r="AO30" s="38"/>
      <c r="AP30" s="38"/>
      <c r="AQ30" s="38"/>
      <c r="AR30" s="38"/>
      <c r="AS30" s="38"/>
      <c r="AT30" s="38"/>
      <c r="AU30" s="38"/>
      <c r="AV30" s="102"/>
      <c r="AW30" s="15"/>
      <c r="AX30" s="38"/>
      <c r="AY30" s="109"/>
      <c r="AZ30" s="108"/>
      <c r="BA30" s="103"/>
      <c r="BB30" s="38"/>
      <c r="BC30" s="38"/>
      <c r="BD30" s="38"/>
      <c r="BE30" s="38"/>
      <c r="BF30" s="38"/>
      <c r="BG30" s="38"/>
      <c r="BH30" s="38"/>
      <c r="BI30" s="38"/>
      <c r="BJ30" s="37">
        <f t="shared" si="2"/>
        <v>0</v>
      </c>
    </row>
    <row r="31" spans="1:62" ht="15.75" customHeight="1">
      <c r="A31" s="17">
        <v>27</v>
      </c>
      <c r="B31" s="109" t="s">
        <v>32</v>
      </c>
      <c r="C31" s="108">
        <v>349</v>
      </c>
      <c r="D31" s="38">
        <v>392</v>
      </c>
      <c r="E31" s="38">
        <v>388</v>
      </c>
      <c r="F31" s="103" t="s">
        <v>61</v>
      </c>
      <c r="G31" s="103" t="s">
        <v>61</v>
      </c>
      <c r="H31" s="103" t="s">
        <v>62</v>
      </c>
      <c r="I31" s="103" t="s">
        <v>63</v>
      </c>
      <c r="J31" s="103" t="s">
        <v>62</v>
      </c>
      <c r="K31" s="38">
        <v>426</v>
      </c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7">
        <f t="shared" si="3"/>
        <v>1555</v>
      </c>
      <c r="AC31" s="17">
        <v>28</v>
      </c>
      <c r="AD31" s="15">
        <v>26</v>
      </c>
      <c r="AE31" s="102" t="s">
        <v>32</v>
      </c>
      <c r="AF31" s="15"/>
      <c r="AG31" s="38"/>
      <c r="AH31" s="38"/>
      <c r="AI31" s="17"/>
      <c r="AJ31" s="93"/>
      <c r="AK31" s="15"/>
      <c r="AL31" s="65"/>
      <c r="AM31" s="15"/>
      <c r="AN31" s="38"/>
      <c r="AO31" s="38"/>
      <c r="AP31" s="38"/>
      <c r="AQ31" s="38"/>
      <c r="AR31" s="38"/>
      <c r="AS31" s="38"/>
      <c r="AT31" s="38"/>
      <c r="AU31" s="38"/>
      <c r="AV31" s="102"/>
      <c r="AW31" s="15"/>
      <c r="AX31" s="38"/>
      <c r="AY31" s="109"/>
      <c r="AZ31" s="108"/>
      <c r="BA31" s="103"/>
      <c r="BB31" s="38"/>
      <c r="BC31" s="38"/>
      <c r="BD31" s="38"/>
      <c r="BE31" s="38"/>
      <c r="BF31" s="38"/>
      <c r="BG31" s="38"/>
      <c r="BH31" s="38"/>
      <c r="BI31" s="38"/>
      <c r="BJ31" s="37">
        <f t="shared" si="2"/>
        <v>0</v>
      </c>
    </row>
    <row r="32" spans="1:62" ht="15.75" customHeight="1">
      <c r="A32" s="17">
        <v>29</v>
      </c>
      <c r="B32" s="109" t="s">
        <v>33</v>
      </c>
      <c r="C32" s="108">
        <v>354</v>
      </c>
      <c r="D32" s="38">
        <v>385</v>
      </c>
      <c r="E32" s="38">
        <v>335</v>
      </c>
      <c r="F32" s="103" t="s">
        <v>61</v>
      </c>
      <c r="G32" s="103" t="s">
        <v>61</v>
      </c>
      <c r="H32" s="103" t="s">
        <v>62</v>
      </c>
      <c r="I32" s="103" t="s">
        <v>63</v>
      </c>
      <c r="J32" s="103" t="s">
        <v>62</v>
      </c>
      <c r="K32" s="38" t="s">
        <v>61</v>
      </c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7">
        <f t="shared" si="3"/>
        <v>1074</v>
      </c>
      <c r="AC32" s="17">
        <v>30</v>
      </c>
      <c r="AD32" s="15">
        <v>27</v>
      </c>
      <c r="AE32" s="102" t="s">
        <v>33</v>
      </c>
      <c r="AF32" s="15"/>
      <c r="AG32" s="38"/>
      <c r="AH32" s="38"/>
      <c r="AI32" s="65"/>
      <c r="AJ32" s="93"/>
      <c r="AK32" s="15"/>
      <c r="AL32" s="65"/>
      <c r="AM32" s="15"/>
      <c r="AN32" s="38"/>
      <c r="AO32" s="38"/>
      <c r="AP32" s="38"/>
      <c r="AQ32" s="38"/>
      <c r="AR32" s="38"/>
      <c r="AS32" s="38"/>
      <c r="AT32" s="38"/>
      <c r="AU32" s="38"/>
      <c r="AV32" s="102"/>
      <c r="AW32" s="108"/>
      <c r="AX32" s="38"/>
      <c r="AY32" s="109"/>
      <c r="AZ32" s="108"/>
      <c r="BA32" s="38"/>
      <c r="BB32" s="38"/>
      <c r="BC32" s="38"/>
      <c r="BD32" s="38"/>
      <c r="BE32" s="38"/>
      <c r="BF32" s="38"/>
      <c r="BG32" s="38"/>
      <c r="BH32" s="38"/>
      <c r="BI32" s="38"/>
      <c r="BJ32" s="37">
        <f t="shared" si="2"/>
        <v>0</v>
      </c>
    </row>
    <row r="33" spans="1:62" ht="15.75" customHeight="1">
      <c r="A33" s="17">
        <v>30</v>
      </c>
      <c r="B33" s="109" t="s">
        <v>34</v>
      </c>
      <c r="C33" s="108">
        <v>0</v>
      </c>
      <c r="D33" s="38">
        <v>446</v>
      </c>
      <c r="E33" s="38">
        <v>0</v>
      </c>
      <c r="F33" s="103" t="s">
        <v>64</v>
      </c>
      <c r="G33" s="103" t="s">
        <v>61</v>
      </c>
      <c r="H33" s="103" t="s">
        <v>62</v>
      </c>
      <c r="I33" s="103" t="s">
        <v>63</v>
      </c>
      <c r="J33" s="103" t="s">
        <v>62</v>
      </c>
      <c r="K33" s="38">
        <v>480</v>
      </c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7">
        <f t="shared" si="3"/>
        <v>926</v>
      </c>
      <c r="AC33" s="17">
        <v>31</v>
      </c>
      <c r="AD33" s="15">
        <v>28</v>
      </c>
      <c r="AE33" s="102" t="s">
        <v>34</v>
      </c>
      <c r="AF33" s="15"/>
      <c r="AG33" s="38"/>
      <c r="AH33" s="38"/>
      <c r="AI33" s="17"/>
      <c r="AJ33" s="93"/>
      <c r="AK33" s="15"/>
      <c r="AL33" s="65"/>
      <c r="AM33" s="15"/>
      <c r="AN33" s="38"/>
      <c r="AO33" s="38"/>
      <c r="AP33" s="38"/>
      <c r="AQ33" s="38"/>
      <c r="AR33" s="38"/>
      <c r="AS33" s="38"/>
      <c r="AT33" s="38"/>
      <c r="AU33" s="38"/>
      <c r="AV33" s="102"/>
      <c r="AW33" s="15"/>
      <c r="AX33" s="38"/>
      <c r="AY33" s="109"/>
      <c r="AZ33" s="108"/>
      <c r="BA33" s="103"/>
      <c r="BB33" s="38"/>
      <c r="BC33" s="38"/>
      <c r="BD33" s="38"/>
      <c r="BE33" s="38"/>
      <c r="BF33" s="38"/>
      <c r="BG33" s="38"/>
      <c r="BH33" s="38"/>
      <c r="BI33" s="38"/>
      <c r="BJ33" s="37">
        <f t="shared" si="2"/>
        <v>0</v>
      </c>
    </row>
    <row r="34" spans="1:62" ht="15.75" customHeight="1">
      <c r="A34" s="17">
        <v>31</v>
      </c>
      <c r="B34" s="112" t="s">
        <v>35</v>
      </c>
      <c r="C34" s="111">
        <v>403</v>
      </c>
      <c r="D34" s="40">
        <v>387</v>
      </c>
      <c r="E34" s="40">
        <v>360</v>
      </c>
      <c r="F34" s="103" t="s">
        <v>61</v>
      </c>
      <c r="G34" s="103" t="s">
        <v>61</v>
      </c>
      <c r="H34" s="103" t="s">
        <v>62</v>
      </c>
      <c r="I34" s="103" t="s">
        <v>63</v>
      </c>
      <c r="J34" s="103" t="s">
        <v>62</v>
      </c>
      <c r="K34" s="40" t="s">
        <v>61</v>
      </c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37">
        <f t="shared" si="3"/>
        <v>1150</v>
      </c>
      <c r="AC34" s="17">
        <v>32</v>
      </c>
      <c r="AD34" s="15">
        <v>29</v>
      </c>
      <c r="AE34" s="110" t="s">
        <v>35</v>
      </c>
      <c r="AF34" s="15"/>
      <c r="AG34" s="40"/>
      <c r="AH34" s="40"/>
      <c r="AI34" s="65"/>
      <c r="AJ34" s="93"/>
      <c r="AK34" s="15"/>
      <c r="AL34" s="65"/>
      <c r="AM34" s="15"/>
      <c r="AN34" s="40"/>
      <c r="AO34" s="40"/>
      <c r="AP34" s="40"/>
      <c r="AQ34" s="40"/>
      <c r="AR34" s="40"/>
      <c r="AS34" s="40"/>
      <c r="AT34" s="40"/>
      <c r="AU34" s="40"/>
      <c r="AV34" s="110"/>
      <c r="AW34" s="111"/>
      <c r="AX34" s="40"/>
      <c r="AY34" s="112"/>
      <c r="AZ34" s="111"/>
      <c r="BA34" s="40"/>
      <c r="BB34" s="40"/>
      <c r="BC34" s="40"/>
      <c r="BD34" s="40"/>
      <c r="BE34" s="40"/>
      <c r="BF34" s="40"/>
      <c r="BG34" s="40"/>
      <c r="BH34" s="40"/>
      <c r="BI34" s="40"/>
      <c r="BJ34" s="37">
        <f t="shared" si="2"/>
        <v>0</v>
      </c>
    </row>
    <row r="35" spans="1:62" ht="15.75" customHeight="1">
      <c r="A35" s="17">
        <v>32</v>
      </c>
      <c r="B35" s="109" t="s">
        <v>36</v>
      </c>
      <c r="C35" s="108">
        <v>413</v>
      </c>
      <c r="D35" s="38">
        <v>407</v>
      </c>
      <c r="E35" s="38">
        <v>292</v>
      </c>
      <c r="F35" s="103" t="s">
        <v>61</v>
      </c>
      <c r="G35" s="103" t="s">
        <v>61</v>
      </c>
      <c r="H35" s="103" t="s">
        <v>62</v>
      </c>
      <c r="I35" s="103" t="s">
        <v>63</v>
      </c>
      <c r="J35" s="103" t="s">
        <v>62</v>
      </c>
      <c r="K35" s="38" t="s">
        <v>61</v>
      </c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7">
        <f t="shared" si="3"/>
        <v>1112</v>
      </c>
      <c r="AC35" s="17">
        <v>33</v>
      </c>
      <c r="AD35" s="15">
        <v>30</v>
      </c>
      <c r="AE35" s="102" t="s">
        <v>36</v>
      </c>
      <c r="AF35" s="15"/>
      <c r="AG35" s="38"/>
      <c r="AH35" s="38"/>
      <c r="AI35" s="17"/>
      <c r="AJ35" s="93"/>
      <c r="AK35" s="15"/>
      <c r="AL35" s="65"/>
      <c r="AM35" s="15"/>
      <c r="AN35" s="38"/>
      <c r="AO35" s="38"/>
      <c r="AP35" s="38"/>
      <c r="AQ35" s="38"/>
      <c r="AR35" s="38"/>
      <c r="AS35" s="38"/>
      <c r="AT35" s="38"/>
      <c r="AU35" s="38"/>
      <c r="AV35" s="102"/>
      <c r="AW35" s="108"/>
      <c r="AX35" s="38"/>
      <c r="AY35" s="109"/>
      <c r="AZ35" s="108"/>
      <c r="BA35" s="38"/>
      <c r="BB35" s="38"/>
      <c r="BC35" s="38"/>
      <c r="BD35" s="38"/>
      <c r="BE35" s="38"/>
      <c r="BF35" s="38"/>
      <c r="BG35" s="38"/>
      <c r="BH35" s="38"/>
      <c r="BI35" s="38"/>
      <c r="BJ35" s="37">
        <f t="shared" si="2"/>
        <v>0</v>
      </c>
    </row>
    <row r="36" spans="1:62" ht="15.75" customHeight="1">
      <c r="A36" s="17">
        <v>33</v>
      </c>
      <c r="B36" s="111" t="s">
        <v>37</v>
      </c>
      <c r="C36" s="111">
        <v>412</v>
      </c>
      <c r="D36" s="40">
        <v>400</v>
      </c>
      <c r="E36" s="40">
        <v>348</v>
      </c>
      <c r="F36" s="103" t="s">
        <v>61</v>
      </c>
      <c r="G36" s="103" t="s">
        <v>61</v>
      </c>
      <c r="H36" s="103" t="s">
        <v>62</v>
      </c>
      <c r="I36" s="103" t="s">
        <v>63</v>
      </c>
      <c r="J36" s="103" t="s">
        <v>62</v>
      </c>
      <c r="K36" s="40" t="s">
        <v>61</v>
      </c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115">
        <f t="shared" si="3"/>
        <v>1160</v>
      </c>
      <c r="AC36" s="17">
        <v>34</v>
      </c>
      <c r="AD36" s="15">
        <v>31</v>
      </c>
      <c r="AE36" s="40" t="s">
        <v>37</v>
      </c>
      <c r="AF36" s="69"/>
      <c r="AG36" s="40"/>
      <c r="AH36" s="40"/>
      <c r="AI36" s="65"/>
      <c r="AJ36" s="131"/>
      <c r="AK36" s="95"/>
      <c r="AL36" s="132"/>
      <c r="AM36" s="95"/>
      <c r="AN36" s="40"/>
      <c r="AO36" s="40"/>
      <c r="AP36" s="40"/>
      <c r="AQ36" s="40"/>
      <c r="AR36" s="40"/>
      <c r="AS36" s="40"/>
      <c r="AT36" s="40"/>
      <c r="AU36" s="40"/>
      <c r="AV36" s="110"/>
      <c r="AW36" s="133"/>
      <c r="AX36" s="40"/>
      <c r="AY36" s="112"/>
      <c r="AZ36" s="133"/>
      <c r="BA36" s="134"/>
      <c r="BB36" s="40"/>
      <c r="BC36" s="40"/>
      <c r="BD36" s="40"/>
      <c r="BE36" s="40"/>
      <c r="BF36" s="40"/>
      <c r="BG36" s="40"/>
      <c r="BH36" s="40"/>
      <c r="BI36" s="40"/>
      <c r="BJ36" s="115">
        <f t="shared" si="2"/>
        <v>0</v>
      </c>
    </row>
    <row r="37" spans="1:62" ht="15.75" customHeight="1">
      <c r="A37" s="58"/>
      <c r="B37" s="118" t="s">
        <v>24</v>
      </c>
      <c r="C37" s="117">
        <v>5624</v>
      </c>
      <c r="D37" s="117">
        <v>5908</v>
      </c>
      <c r="E37" s="118">
        <v>4896</v>
      </c>
      <c r="F37" s="5"/>
      <c r="G37" s="5"/>
      <c r="H37" s="117"/>
      <c r="I37" s="117"/>
      <c r="J37" s="117"/>
      <c r="K37" s="117">
        <v>3233</v>
      </c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35">
        <f t="shared" si="3"/>
        <v>19661</v>
      </c>
      <c r="AC37" s="58"/>
      <c r="AD37" s="72"/>
      <c r="AE37" s="116" t="s">
        <v>24</v>
      </c>
      <c r="AF37" s="71"/>
      <c r="AG37" s="60"/>
      <c r="AH37" s="118"/>
      <c r="AI37" s="119"/>
      <c r="AJ37" s="136"/>
      <c r="AK37" s="120"/>
      <c r="AL37" s="58"/>
      <c r="AM37" s="120"/>
      <c r="AN37" s="117"/>
      <c r="AO37" s="117"/>
      <c r="AP37" s="117"/>
      <c r="AQ37" s="117"/>
      <c r="AR37" s="117"/>
      <c r="AS37" s="117"/>
      <c r="AT37" s="117"/>
      <c r="AU37" s="117"/>
      <c r="AV37" s="117"/>
      <c r="AW37" s="120"/>
      <c r="AX37" s="117"/>
      <c r="AY37" s="117"/>
      <c r="AZ37" s="137"/>
      <c r="BA37" s="120"/>
      <c r="BB37" s="117"/>
      <c r="BC37" s="117"/>
      <c r="BD37" s="117"/>
      <c r="BE37" s="117"/>
      <c r="BF37" s="117"/>
      <c r="BG37" s="117"/>
      <c r="BH37" s="117"/>
      <c r="BI37" s="118"/>
      <c r="BJ37" s="71">
        <f t="shared" si="2"/>
        <v>0</v>
      </c>
    </row>
    <row r="38" spans="1:62" ht="15.75" customHeight="1">
      <c r="A38" s="138"/>
      <c r="B38" s="76" t="s">
        <v>46</v>
      </c>
      <c r="C38" s="120">
        <v>13694</v>
      </c>
      <c r="D38" s="120">
        <v>14203</v>
      </c>
      <c r="E38" s="76">
        <v>12266</v>
      </c>
      <c r="F38" s="77"/>
      <c r="G38" s="77"/>
      <c r="H38" s="120"/>
      <c r="I38" s="120"/>
      <c r="J38" s="120"/>
      <c r="K38" s="120">
        <v>5365</v>
      </c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39">
        <f>AA37+AA22</f>
        <v>45528</v>
      </c>
      <c r="AC38" s="138"/>
      <c r="AD38" s="19">
        <v>32</v>
      </c>
      <c r="AE38" s="19" t="s">
        <v>38</v>
      </c>
      <c r="AF38" s="19"/>
      <c r="AG38" s="19"/>
      <c r="AH38" s="19"/>
      <c r="AI38" s="19"/>
      <c r="AJ38" s="19"/>
      <c r="AK38" s="19"/>
      <c r="AL38" s="19"/>
      <c r="AM38" s="15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40">
        <f t="shared" si="2"/>
        <v>0</v>
      </c>
    </row>
    <row r="39" spans="1:62" ht="15.75" customHeight="1">
      <c r="A39" s="141"/>
      <c r="AD39" s="15">
        <v>33</v>
      </c>
      <c r="AE39" s="15" t="s">
        <v>39</v>
      </c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15">
        <f t="shared" si="2"/>
        <v>0</v>
      </c>
    </row>
    <row r="40" spans="1:62" ht="15.75" customHeight="1">
      <c r="A40" s="141"/>
      <c r="AD40" s="15">
        <v>34</v>
      </c>
      <c r="AE40" s="15" t="s">
        <v>41</v>
      </c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15">
        <f t="shared" si="2"/>
        <v>0</v>
      </c>
    </row>
    <row r="41" spans="1:62" ht="15.75" customHeight="1">
      <c r="A41" s="141"/>
      <c r="AD41" s="15">
        <v>35</v>
      </c>
      <c r="AE41" s="15" t="s">
        <v>42</v>
      </c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15">
        <f t="shared" si="2"/>
        <v>0</v>
      </c>
    </row>
    <row r="42" spans="1:62" ht="15.75" customHeight="1">
      <c r="A42" s="141"/>
      <c r="AD42" s="69">
        <v>36</v>
      </c>
      <c r="AE42" s="69" t="s">
        <v>43</v>
      </c>
      <c r="AF42" s="69"/>
      <c r="AG42" s="69"/>
      <c r="AH42" s="69"/>
      <c r="AI42" s="69"/>
      <c r="AJ42" s="69"/>
      <c r="AK42" s="69"/>
      <c r="AL42" s="69"/>
      <c r="AM42" s="15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115">
        <f t="shared" si="2"/>
        <v>0</v>
      </c>
    </row>
    <row r="43" spans="1:62" ht="15.75" customHeight="1">
      <c r="A43" s="141"/>
      <c r="AD43" s="3"/>
      <c r="AE43" s="116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5">
        <f t="shared" si="2"/>
        <v>0</v>
      </c>
    </row>
    <row r="44" spans="1:62" ht="15.75" customHeight="1">
      <c r="A44" s="141"/>
      <c r="AD44" s="8">
        <v>37</v>
      </c>
      <c r="AE44" s="61" t="s">
        <v>44</v>
      </c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15">
        <f t="shared" si="2"/>
        <v>0</v>
      </c>
    </row>
    <row r="45" spans="1:62" ht="15.75" customHeight="1">
      <c r="A45" s="141"/>
      <c r="AD45" s="15">
        <v>38</v>
      </c>
      <c r="AE45" s="65" t="s">
        <v>45</v>
      </c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15">
        <f t="shared" si="2"/>
        <v>0</v>
      </c>
    </row>
    <row r="46" spans="1:62" ht="15.75" customHeight="1">
      <c r="A46" s="141"/>
      <c r="AD46" s="69">
        <v>39</v>
      </c>
      <c r="AE46" s="70" t="s">
        <v>67</v>
      </c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115">
        <f t="shared" si="2"/>
        <v>0</v>
      </c>
    </row>
    <row r="47" spans="1:62" ht="15.75" customHeight="1">
      <c r="A47" s="141"/>
      <c r="AD47" s="72"/>
      <c r="AE47" s="116"/>
      <c r="AF47" s="117"/>
      <c r="AG47" s="117"/>
      <c r="AH47" s="118"/>
      <c r="AI47" s="118"/>
      <c r="AJ47" s="118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8"/>
      <c r="BC47" s="118"/>
      <c r="BD47" s="118"/>
      <c r="BE47" s="118"/>
      <c r="BF47" s="118"/>
      <c r="BG47" s="118"/>
      <c r="BH47" s="118"/>
      <c r="BI47" s="118"/>
      <c r="BJ47" s="71">
        <f t="shared" si="2"/>
        <v>0</v>
      </c>
    </row>
    <row r="48" spans="1:62" ht="15.75" customHeight="1">
      <c r="A48" s="141"/>
      <c r="AA48" s="124"/>
    </row>
    <row r="49" spans="1:27" ht="15.75" customHeight="1">
      <c r="A49" s="141"/>
    </row>
    <row r="50" spans="1:27" ht="15.75" customHeight="1">
      <c r="A50" s="141"/>
    </row>
    <row r="51" spans="1:27" ht="15.75" customHeight="1">
      <c r="A51" s="141"/>
    </row>
    <row r="52" spans="1:27" ht="15.75" customHeight="1">
      <c r="A52" s="141"/>
    </row>
    <row r="53" spans="1:27" ht="15.75" customHeight="1">
      <c r="A53" s="141"/>
    </row>
    <row r="54" spans="1:27" ht="15.75" customHeight="1">
      <c r="A54" s="141"/>
      <c r="B54" s="124"/>
      <c r="AA54" s="124"/>
    </row>
    <row r="55" spans="1:27" ht="15.75" customHeight="1">
      <c r="B55" s="124"/>
      <c r="AA55" s="142"/>
    </row>
    <row r="56" spans="1:27" ht="15.75" customHeight="1"/>
    <row r="57" spans="1:27" ht="15.75" customHeight="1"/>
    <row r="58" spans="1:27" ht="15.75" customHeight="1"/>
    <row r="59" spans="1:27" ht="15.75" customHeight="1"/>
    <row r="60" spans="1:27" ht="15.75" customHeight="1"/>
    <row r="61" spans="1:27" ht="15.75" customHeight="1"/>
    <row r="62" spans="1:27" ht="15.75" customHeight="1"/>
    <row r="63" spans="1:27" ht="15.75" customHeight="1"/>
    <row r="64" spans="1:2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5ec7b9-0efa-4083-b8b2-ef0b02b37d34" xsi:nil="true"/>
    <lcf76f155ced4ddcb4097134ff3c332f xmlns="facb616c-ef71-4e41-a79f-30998887561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FD9D6E9444FA4EB4013FE657B747C2" ma:contentTypeVersion="12" ma:contentTypeDescription="Create a new document." ma:contentTypeScope="" ma:versionID="7d54cea3ec2e277ed0bec287bfbaead4">
  <xsd:schema xmlns:xsd="http://www.w3.org/2001/XMLSchema" xmlns:xs="http://www.w3.org/2001/XMLSchema" xmlns:p="http://schemas.microsoft.com/office/2006/metadata/properties" xmlns:ns2="facb616c-ef71-4e41-a79f-309988875612" xmlns:ns3="605ec7b9-0efa-4083-b8b2-ef0b02b37d34" targetNamespace="http://schemas.microsoft.com/office/2006/metadata/properties" ma:root="true" ma:fieldsID="8bb1bf23ce42975dfad202b746e03d8a" ns2:_="" ns3:_="">
    <xsd:import namespace="facb616c-ef71-4e41-a79f-309988875612"/>
    <xsd:import namespace="605ec7b9-0efa-4083-b8b2-ef0b02b37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b616c-ef71-4e41-a79f-3099888756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f81bb1-e4a7-4e40-9828-0980da20e1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5ec7b9-0efa-4083-b8b2-ef0b02b37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f427b6-c8bf-4293-939f-53286faa8516}" ma:internalName="TaxCatchAll" ma:showField="CatchAllData" ma:web="605ec7b9-0efa-4083-b8b2-ef0b02b37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54D129-8A36-40EB-8C6C-7906E4216BC1}"/>
</file>

<file path=customXml/itemProps2.xml><?xml version="1.0" encoding="utf-8"?>
<ds:datastoreItem xmlns:ds="http://schemas.openxmlformats.org/officeDocument/2006/customXml" ds:itemID="{4B528A5C-566B-4E38-BCCC-A75B32275945}"/>
</file>

<file path=customXml/itemProps3.xml><?xml version="1.0" encoding="utf-8"?>
<ds:datastoreItem xmlns:ds="http://schemas.openxmlformats.org/officeDocument/2006/customXml" ds:itemID="{DFED84E7-7B14-4069-95F3-A22E51F19F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2026-07-06T06:46:25Z</dcterms:created>
  <dcterms:modified xsi:type="dcterms:W3CDTF">2026-07-09T09:11:31Z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0x010100B1FD9D6E9444FA4EB4013FE657B747C2</vt:lpwstr>
  </property>
  <property fmtid="{D5CDD505-2E9C-101B-9397-08002B2CF9AE}" pid="3" name="MediaServiceImageTags">
    <vt:lpwstr/>
  </property>
</Properties>
</file>